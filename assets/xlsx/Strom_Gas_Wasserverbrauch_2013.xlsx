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blesewerte Gas" sheetId="1" state="visible" r:id="rId3"/>
    <sheet name="Verbrauch Gas" sheetId="2" state="visible" r:id="rId4"/>
    <sheet name="Ablesewerte Strom" sheetId="3" state="visible" r:id="rId5"/>
    <sheet name="Verbrauch Strom" sheetId="4" state="visible" r:id="rId6"/>
    <sheet name="Ablesewerte Wasser" sheetId="5" state="visible" r:id="rId7"/>
    <sheet name="Verbrauch Wasser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<sst xmlns="http://schemas.openxmlformats.org/spreadsheetml/2006/main" count="1940" uniqueCount="61">
  <si>
    <t xml:space="preserve">Gas</t>
  </si>
  <si>
    <t xml:space="preserve">m³</t>
  </si>
  <si>
    <t xml:space="preserve">Jan</t>
  </si>
  <si>
    <t xml:space="preserve">Feb</t>
  </si>
  <si>
    <t xml:space="preserve">Mrz</t>
  </si>
  <si>
    <t xml:space="preserve">Apr</t>
  </si>
  <si>
    <t xml:space="preserve">Mai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</si>
  <si>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</si>
  <si>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</si>
  <si>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</si>
  <si>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</si>
  <si>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</si>
  <si>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</si>
  <si>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</si>
  <si>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Hauptzähler Internat</t>
  </si>
  <si>
    <t xml:space="preserve">Zwischenzähler Küche</t>
  </si>
  <si>
    <t xml:space="preserve">(Küche)</t>
  </si>
  <si>
    <t xml:space="preserve">alte Aula</t>
  </si>
  <si>
    <t xml:space="preserve">Lichtenstern 13</t>
  </si>
  <si>
    <t xml:space="preserve">Aula</t>
  </si>
  <si>
    <t xml:space="preserve">Haus der Musik</t>
  </si>
  <si>
    <t xml:space="preserve">Verbrauch Gas</t>
  </si>
  <si>
    <t xml:space="preserve">Verbrauch</t>
  </si>
  <si>
    <t xml:space="preserve">Strom</t>
  </si>
  <si>
    <t xml:space="preserve">kWh</t>
  </si>
  <si>
    <t xml:space="preserve">pro Messstelle</t>
  </si>
  <si>
    <t xml:space="preserve">04.10.2012</t>
  </si>
  <si>
    <t xml:space="preserve">Internat</t>
  </si>
  <si>
    <t xml:space="preserve">UZ Aula *</t>
  </si>
  <si>
    <t xml:space="preserve">L13 Internat</t>
  </si>
  <si>
    <t xml:space="preserve">L13 Gemeinschaft</t>
  </si>
  <si>
    <t xml:space="preserve">Schule**</t>
  </si>
  <si>
    <t xml:space="preserve">keine Ablesung möglich</t>
  </si>
  <si>
    <t xml:space="preserve">UZ P002</t>
  </si>
  <si>
    <t xml:space="preserve">UZ P003</t>
  </si>
  <si>
    <t xml:space="preserve">UZ P004</t>
  </si>
  <si>
    <t xml:space="preserve">Container</t>
  </si>
  <si>
    <t xml:space="preserve">UZ P9</t>
  </si>
  <si>
    <t xml:space="preserve">UZ P10</t>
  </si>
  <si>
    <t xml:space="preserve">Sporthalle**</t>
  </si>
  <si>
    <t xml:space="preserve">Sporthalle UZ P4</t>
  </si>
  <si>
    <t xml:space="preserve">Strom BHKW 89117711</t>
  </si>
  <si>
    <t xml:space="preserve">BHKWNetzeinspeisung 21309589:                            </t>
  </si>
  <si>
    <t xml:space="preserve">Einspeisung Photovoltaik</t>
  </si>
  <si>
    <t xml:space="preserve">Schloss</t>
  </si>
  <si>
    <t xml:space="preserve">L13 Stadt</t>
  </si>
  <si>
    <t xml:space="preserve">Strom BHKW 89123951</t>
  </si>
  <si>
    <t xml:space="preserve"> </t>
  </si>
  <si>
    <t xml:space="preserve">UZ P002***</t>
  </si>
  <si>
    <t xml:space="preserve">UZ P003***</t>
  </si>
  <si>
    <t xml:space="preserve">UZ P004***</t>
  </si>
  <si>
    <t xml:space="preserve">UZ P9***</t>
  </si>
  <si>
    <t xml:space="preserve">UZ P10***</t>
  </si>
  <si>
    <t xml:space="preserve">Sporthalle UZ P4***</t>
  </si>
  <si>
    <t xml:space="preserve">KWH</t>
  </si>
  <si>
    <t xml:space="preserve">,</t>
  </si>
  <si>
    <t xml:space="preserve">Verbrauch pro Messstelle</t>
  </si>
  <si>
    <t xml:space="preserve">Zähler Schloss</t>
  </si>
  <si>
    <t xml:space="preserve">davon Sporthalle</t>
  </si>
  <si>
    <t xml:space="preserve">gesamt</t>
  </si>
  <si>
    <t xml:space="preserve">WASSER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</si>
</sst>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7]mmm\ yy"/>
    <numFmt numFmtId="166" formatCode="dd/mm/yyyy"/>
    <numFmt numFmtId="167" formatCode="#,##0.00"/>
    <numFmt numFmtId="168" formatCode="@"/>
    <numFmt numFmtId="169" formatCode="0.0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8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99FF"/>
        <bgColor rgb="FF9999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99"/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78" colorId="64" zoomScale="100" zoomScaleNormal="100" zoomScalePageLayoutView="100" workbookViewId="0">
      <selection pane="topLeft" activeCell="G127" activeCellId="1" sqref="L206:L207 G127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23.99"/>
    <col collapsed="false" customWidth="true" hidden="false" outlineLevel="0" max="2" min="2" style="1" width="6.7"/>
    <col collapsed="false" customWidth="true" hidden="false" outlineLevel="0" max="7" min="3" style="1" width="11.7"/>
    <col collapsed="false" customWidth="true" hidden="false" outlineLevel="0" max="8" min="8" style="1" width="12.7"/>
    <col collapsed="false" customWidth="true" hidden="false" outlineLevel="0" max="15" min="9" style="1" width="11.7"/>
    <col collapsed="false" customWidth="true" hidden="false" outlineLevel="0" max="17" min="17" style="1" width="13.15"/>
    <col collapsed="false" customWidth="true" hidden="false" outlineLevel="0" max="18" min="18" style="1" width="13.56"/>
  </cols>
  <sheetData>
    <row r="1" customFormat="false" ht="15" hidden="false" customHeight="false" outlineLevel="0" collapsed="false">
      <c r="A1" s="2" t="s">
        <v>0</v>
      </c>
    </row>
    <row r="4" customFormat="false" ht="15" hidden="false" customHeight="false" outlineLevel="0" collapsed="false">
      <c r="A4" s="3" t="n">
        <v>2012</v>
      </c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4"/>
      <c r="P4" s="6"/>
      <c r="Q4" s="6"/>
      <c r="R4" s="6"/>
      <c r="S4" s="6"/>
    </row>
    <row r="5" customFormat="false" ht="12.75" hidden="false" customHeight="false" outlineLevel="0" collapsed="false">
      <c r="A5" s="6"/>
      <c r="B5" s="4"/>
      <c r="C5" s="7" t="n">
        <v>40908</v>
      </c>
      <c r="D5" s="7" t="n">
        <v>40940</v>
      </c>
      <c r="E5" s="7" t="n">
        <v>40969</v>
      </c>
      <c r="F5" s="7" t="n">
        <v>41000</v>
      </c>
      <c r="G5" s="7" t="n">
        <v>41031</v>
      </c>
      <c r="H5" s="7" t="n">
        <v>41061</v>
      </c>
      <c r="I5" s="7" t="n">
        <v>41092</v>
      </c>
      <c r="J5" s="7" t="n">
        <v>41117</v>
      </c>
      <c r="K5" s="7" t="n">
        <v>41153</v>
      </c>
      <c r="L5" s="7" t="n">
        <v>41183</v>
      </c>
      <c r="M5" s="7" t="n">
        <v>41218</v>
      </c>
      <c r="N5" s="7" t="n">
        <v>41247</v>
      </c>
      <c r="O5" s="7" t="n">
        <v>41272</v>
      </c>
      <c r="P5" s="6"/>
      <c r="Q5" s="6"/>
      <c r="R5" s="6"/>
      <c r="S5" s="6"/>
    </row>
    <row r="6" customFormat="false" ht="12.75" hidden="false" customHeight="false" outlineLevel="0" collapsed="false">
      <c r="A6" s="6" t="s">
        <v>14</v>
      </c>
      <c r="B6" s="6"/>
      <c r="C6" s="8" t="n">
        <v>2357818.1</v>
      </c>
      <c r="D6" s="8" t="n">
        <v>2369216</v>
      </c>
      <c r="E6" s="8" t="n">
        <v>2381300</v>
      </c>
      <c r="F6" s="8" t="n">
        <v>2387206.2</v>
      </c>
      <c r="G6" s="8" t="n">
        <v>2391485.2</v>
      </c>
      <c r="H6" s="8" t="n">
        <v>2393713.2</v>
      </c>
      <c r="I6" s="8" t="n">
        <v>2395448</v>
      </c>
      <c r="J6" s="8" t="n">
        <v>2396698.4</v>
      </c>
      <c r="K6" s="8" t="n">
        <v>2398171.8</v>
      </c>
      <c r="L6" s="8" t="n">
        <v>2400338.8</v>
      </c>
      <c r="M6" s="8" t="n">
        <v>2405921.7</v>
      </c>
      <c r="N6" s="8" t="n">
        <v>2413599.8</v>
      </c>
      <c r="O6" s="8" t="n">
        <v>2424091</v>
      </c>
      <c r="P6" s="6"/>
      <c r="Q6" s="8" t="n">
        <f aca="false">SUM(O6-C6)</f>
        <v>66272.8999999999</v>
      </c>
      <c r="R6" s="6"/>
      <c r="S6" s="6"/>
    </row>
    <row r="7" customFormat="false" ht="12.75" hidden="false" customHeight="false" outlineLevel="0" collapsed="false">
      <c r="A7" s="6" t="s">
        <v>15</v>
      </c>
      <c r="B7" s="6"/>
      <c r="C7" s="8" t="n">
        <v>5530.39</v>
      </c>
      <c r="D7" s="8" t="n">
        <v>5630.1</v>
      </c>
      <c r="E7" s="8" t="n">
        <v>5708.23</v>
      </c>
      <c r="F7" s="8" t="n">
        <v>5799.36</v>
      </c>
      <c r="G7" s="8" t="n">
        <v>5855.52</v>
      </c>
      <c r="H7" s="8" t="n">
        <v>5939.37</v>
      </c>
      <c r="I7" s="8" t="n">
        <v>5997.71</v>
      </c>
      <c r="J7" s="8" t="n">
        <v>6046.2</v>
      </c>
      <c r="K7" s="8" t="n">
        <v>6072.92</v>
      </c>
      <c r="L7" s="8" t="n">
        <v>6145.24</v>
      </c>
      <c r="M7" s="8" t="n">
        <v>6231.2</v>
      </c>
      <c r="N7" s="8" t="n">
        <v>6310.58</v>
      </c>
      <c r="O7" s="8" t="n">
        <v>6377.84</v>
      </c>
      <c r="P7" s="6"/>
      <c r="Q7" s="6"/>
      <c r="R7" s="8" t="n">
        <f aca="false">SUM(O7-C7)</f>
        <v>847.45</v>
      </c>
      <c r="S7" s="6" t="s">
        <v>16</v>
      </c>
    </row>
    <row r="8" customFormat="false" ht="12.75" hidden="false" customHeight="false" outlineLevel="0" collapsed="false">
      <c r="A8" s="6" t="s">
        <v>17</v>
      </c>
      <c r="B8" s="6"/>
      <c r="C8" s="8" t="n">
        <v>195332.72</v>
      </c>
      <c r="D8" s="8" t="n">
        <v>196181.74</v>
      </c>
      <c r="E8" s="8" t="n">
        <v>197076.83</v>
      </c>
      <c r="F8" s="8" t="n">
        <v>197446.79</v>
      </c>
      <c r="G8" s="8" t="n">
        <v>197623.46</v>
      </c>
      <c r="H8" s="8" t="n">
        <v>197671.1</v>
      </c>
      <c r="I8" s="8" t="n">
        <v>197671.1</v>
      </c>
      <c r="J8" s="8" t="n">
        <v>197671.1</v>
      </c>
      <c r="K8" s="8" t="n">
        <v>197671.1</v>
      </c>
      <c r="L8" s="8" t="n">
        <v>197716.72</v>
      </c>
      <c r="M8" s="8" t="n">
        <v>197994.21</v>
      </c>
      <c r="N8" s="8" t="n">
        <v>198532.09</v>
      </c>
      <c r="O8" s="8" t="n">
        <v>199225.12</v>
      </c>
      <c r="P8" s="6"/>
      <c r="Q8" s="8" t="n">
        <f aca="false">SUM(O8-C8)</f>
        <v>3892.39999999999</v>
      </c>
      <c r="R8" s="6"/>
      <c r="S8" s="6"/>
    </row>
    <row r="9" customFormat="false" ht="12.75" hidden="false" customHeight="false" outlineLevel="0" collapsed="false">
      <c r="A9" s="6" t="s">
        <v>18</v>
      </c>
      <c r="B9" s="6"/>
      <c r="C9" s="8" t="n">
        <v>46421.5</v>
      </c>
      <c r="D9" s="8" t="n">
        <v>46926.54</v>
      </c>
      <c r="E9" s="8" t="n">
        <v>47541.34</v>
      </c>
      <c r="F9" s="8" t="n">
        <v>47873.73</v>
      </c>
      <c r="G9" s="8" t="n">
        <v>48176.32</v>
      </c>
      <c r="H9" s="8" t="n">
        <v>111.32</v>
      </c>
      <c r="I9" s="8" t="n">
        <v>197.102</v>
      </c>
      <c r="J9" s="8" t="n">
        <v>259.55</v>
      </c>
      <c r="K9" s="8" t="n">
        <v>343.21</v>
      </c>
      <c r="L9" s="8" t="n">
        <v>436.32</v>
      </c>
      <c r="M9" s="8" t="n">
        <v>702.15</v>
      </c>
      <c r="N9" s="8" t="n">
        <v>1067.089</v>
      </c>
      <c r="O9" s="8" t="n">
        <v>1599.187</v>
      </c>
      <c r="P9" s="6"/>
      <c r="Q9" s="8" t="n">
        <f aca="false">SUM(G9-C9)+(O9-H9)</f>
        <v>3242.687</v>
      </c>
      <c r="R9" s="6"/>
      <c r="S9" s="6"/>
    </row>
    <row r="10" customFormat="false" ht="12.7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4" customFormat="false" ht="15" hidden="false" customHeight="false" outlineLevel="0" collapsed="false">
      <c r="A14" s="9" t="n">
        <v>2013</v>
      </c>
      <c r="B14" s="10" t="s">
        <v>1</v>
      </c>
      <c r="C14" s="11" t="s">
        <v>2</v>
      </c>
      <c r="D14" s="11" t="s">
        <v>3</v>
      </c>
      <c r="E14" s="11" t="s">
        <v>4</v>
      </c>
      <c r="F14" s="11" t="s">
        <v>5</v>
      </c>
      <c r="G14" s="11" t="s">
        <v>6</v>
      </c>
      <c r="H14" s="11" t="s">
        <v>7</v>
      </c>
      <c r="I14" s="11" t="s">
        <v>8</v>
      </c>
      <c r="J14" s="11" t="s">
        <v>9</v>
      </c>
      <c r="K14" s="11" t="s">
        <v>10</v>
      </c>
      <c r="L14" s="11" t="s">
        <v>11</v>
      </c>
      <c r="M14" s="11" t="s">
        <v>12</v>
      </c>
      <c r="N14" s="11" t="s">
        <v>13</v>
      </c>
      <c r="O14" s="12"/>
      <c r="P14" s="12"/>
      <c r="Q14" s="12"/>
      <c r="R14" s="12"/>
      <c r="S14" s="12"/>
    </row>
    <row r="15" customFormat="false" ht="12.75" hidden="false" customHeight="false" outlineLevel="0" collapsed="false">
      <c r="A15" s="12"/>
      <c r="B15" s="12"/>
      <c r="C15" s="13" t="n">
        <v>41274</v>
      </c>
      <c r="D15" s="13" t="n">
        <v>41306</v>
      </c>
      <c r="E15" s="13" t="n">
        <v>41334</v>
      </c>
      <c r="F15" s="13" t="n">
        <v>41366</v>
      </c>
      <c r="G15" s="13" t="n">
        <v>41397</v>
      </c>
      <c r="H15" s="13" t="n">
        <v>41429</v>
      </c>
      <c r="I15" s="13" t="n">
        <v>41456</v>
      </c>
      <c r="J15" s="13" t="n">
        <v>41487</v>
      </c>
      <c r="K15" s="13" t="n">
        <v>41519</v>
      </c>
      <c r="L15" s="13" t="n">
        <v>41548</v>
      </c>
      <c r="M15" s="13" t="n">
        <v>41582</v>
      </c>
      <c r="N15" s="13" t="n">
        <v>41610</v>
      </c>
      <c r="O15" s="13" t="n">
        <v>41639</v>
      </c>
      <c r="P15" s="12"/>
      <c r="Q15" s="12"/>
      <c r="R15" s="12"/>
      <c r="S15" s="12"/>
    </row>
    <row r="16" customFormat="false" ht="12.75" hidden="false" customHeight="false" outlineLevel="0" collapsed="false">
      <c r="A16" s="12" t="s">
        <v>14</v>
      </c>
      <c r="B16" s="12"/>
      <c r="C16" s="14" t="n">
        <v>2424091</v>
      </c>
      <c r="D16" s="14" t="n">
        <v>2433708.1</v>
      </c>
      <c r="E16" s="14" t="n">
        <v>2444294.8</v>
      </c>
      <c r="F16" s="14" t="n">
        <v>2453427.5</v>
      </c>
      <c r="G16" s="14" t="n">
        <v>2458453.1</v>
      </c>
      <c r="H16" s="14" t="n">
        <v>2461630</v>
      </c>
      <c r="I16" s="14" t="n">
        <v>2463357.8</v>
      </c>
      <c r="J16" s="14" t="n">
        <v>2464632.9</v>
      </c>
      <c r="K16" s="14" t="n">
        <v>2465778.8</v>
      </c>
      <c r="L16" s="14" t="n">
        <v>2468109.1</v>
      </c>
      <c r="M16" s="14" t="n">
        <v>2472373.9</v>
      </c>
      <c r="N16" s="14" t="n">
        <v>2479928.6</v>
      </c>
      <c r="O16" s="14" t="n">
        <v>2490394.6</v>
      </c>
      <c r="P16" s="12"/>
      <c r="Q16" s="14" t="n">
        <f aca="false">SUM(O16-C16)</f>
        <v>66303.6000000001</v>
      </c>
      <c r="R16" s="12"/>
      <c r="S16" s="12"/>
    </row>
    <row r="17" customFormat="false" ht="12.75" hidden="false" customHeight="false" outlineLevel="0" collapsed="false">
      <c r="A17" s="12" t="s">
        <v>15</v>
      </c>
      <c r="B17" s="12"/>
      <c r="C17" s="14" t="n">
        <v>6377.84</v>
      </c>
      <c r="D17" s="14" t="n">
        <v>6425.79</v>
      </c>
      <c r="E17" s="14" t="n">
        <v>6466.1</v>
      </c>
      <c r="F17" s="14" t="n">
        <v>6514.99</v>
      </c>
      <c r="G17" s="14" t="n">
        <v>6574.03</v>
      </c>
      <c r="H17" s="14" t="n">
        <v>6596.47</v>
      </c>
      <c r="I17" s="14" t="n">
        <v>6652.18</v>
      </c>
      <c r="J17" s="14" t="n">
        <v>6683.9</v>
      </c>
      <c r="K17" s="14" t="n">
        <v>6700.95</v>
      </c>
      <c r="L17" s="14" t="n">
        <v>6753.71</v>
      </c>
      <c r="M17" s="14" t="n">
        <v>6823.08</v>
      </c>
      <c r="N17" s="14" t="n">
        <v>6883.77</v>
      </c>
      <c r="O17" s="14" t="n">
        <v>6928.63</v>
      </c>
      <c r="P17" s="12"/>
      <c r="Q17" s="12"/>
      <c r="R17" s="14" t="n">
        <f aca="false">SUM(O17-C17)</f>
        <v>550.79</v>
      </c>
      <c r="S17" s="12"/>
    </row>
    <row r="18" customFormat="false" ht="12.75" hidden="false" customHeight="false" outlineLevel="0" collapsed="false">
      <c r="A18" s="12" t="s">
        <v>17</v>
      </c>
      <c r="B18" s="12"/>
      <c r="C18" s="14" t="n">
        <v>199225.12</v>
      </c>
      <c r="D18" s="14" t="n">
        <v>199975.98</v>
      </c>
      <c r="E18" s="14" t="n">
        <v>200844.17</v>
      </c>
      <c r="F18" s="14" t="n">
        <v>201620.1</v>
      </c>
      <c r="G18" s="14" t="n">
        <v>201867.99</v>
      </c>
      <c r="H18" s="14" t="n">
        <v>201935.5</v>
      </c>
      <c r="I18" s="14" t="n">
        <v>201938.5</v>
      </c>
      <c r="J18" s="14" t="n">
        <v>201938.5</v>
      </c>
      <c r="K18" s="14" t="n">
        <v>201938.5</v>
      </c>
      <c r="L18" s="14" t="n">
        <v>202009.4</v>
      </c>
      <c r="M18" s="14" t="n">
        <v>202228.2</v>
      </c>
      <c r="N18" s="14" t="n">
        <v>202826.8</v>
      </c>
      <c r="O18" s="14" t="n">
        <v>203621.22</v>
      </c>
      <c r="P18" s="12"/>
      <c r="Q18" s="14" t="n">
        <f aca="false">SUM(O18-C18)</f>
        <v>4396.10000000001</v>
      </c>
      <c r="R18" s="12"/>
      <c r="S18" s="12"/>
    </row>
    <row r="19" customFormat="false" ht="12.75" hidden="false" customHeight="false" outlineLevel="0" collapsed="false">
      <c r="A19" s="12" t="s">
        <v>18</v>
      </c>
      <c r="B19" s="12"/>
      <c r="C19" s="14" t="n">
        <v>1599.187</v>
      </c>
      <c r="D19" s="14" t="n">
        <v>2032.99</v>
      </c>
      <c r="E19" s="14" t="n">
        <v>2543.845</v>
      </c>
      <c r="F19" s="14" t="n">
        <v>3000.42</v>
      </c>
      <c r="G19" s="14" t="n">
        <v>3231.69</v>
      </c>
      <c r="H19" s="14" t="n">
        <v>3418.32</v>
      </c>
      <c r="I19" s="14" t="n">
        <v>3513.82</v>
      </c>
      <c r="J19" s="14" t="n">
        <v>3598.2</v>
      </c>
      <c r="K19" s="14" t="n">
        <v>3661.59</v>
      </c>
      <c r="L19" s="14" t="n">
        <v>3772.255</v>
      </c>
      <c r="M19" s="14" t="n">
        <v>4004.36</v>
      </c>
      <c r="N19" s="14" t="n">
        <v>4343.86</v>
      </c>
      <c r="O19" s="14" t="n">
        <v>4865.99</v>
      </c>
      <c r="P19" s="12"/>
      <c r="Q19" s="14" t="n">
        <f aca="false">SUM(O19-C19)</f>
        <v>3266.803</v>
      </c>
      <c r="R19" s="12"/>
      <c r="S19" s="12"/>
    </row>
    <row r="23" customFormat="false" ht="15" hidden="false" customHeight="false" outlineLevel="0" collapsed="false">
      <c r="A23" s="9" t="n">
        <v>2014</v>
      </c>
      <c r="B23" s="10" t="s">
        <v>1</v>
      </c>
      <c r="C23" s="11" t="s">
        <v>2</v>
      </c>
      <c r="D23" s="11" t="s">
        <v>3</v>
      </c>
      <c r="E23" s="11" t="s">
        <v>4</v>
      </c>
      <c r="F23" s="11" t="s">
        <v>5</v>
      </c>
      <c r="G23" s="11" t="s">
        <v>6</v>
      </c>
      <c r="H23" s="11" t="s">
        <v>7</v>
      </c>
      <c r="I23" s="11" t="s">
        <v>8</v>
      </c>
      <c r="J23" s="11" t="s">
        <v>9</v>
      </c>
      <c r="K23" s="11" t="s">
        <v>10</v>
      </c>
      <c r="L23" s="11" t="s">
        <v>11</v>
      </c>
      <c r="M23" s="11" t="s">
        <v>12</v>
      </c>
      <c r="N23" s="11" t="s">
        <v>13</v>
      </c>
      <c r="O23" s="12"/>
      <c r="P23" s="12"/>
      <c r="Q23" s="12"/>
      <c r="R23" s="12"/>
      <c r="S23" s="12"/>
    </row>
    <row r="24" customFormat="false" ht="12.75" hidden="false" customHeight="false" outlineLevel="0" collapsed="false">
      <c r="A24" s="12"/>
      <c r="B24" s="12"/>
      <c r="C24" s="13" t="n">
        <v>41639</v>
      </c>
      <c r="D24" s="13" t="n">
        <v>41671</v>
      </c>
      <c r="E24" s="13" t="n">
        <v>41699</v>
      </c>
      <c r="F24" s="13" t="n">
        <v>41730</v>
      </c>
      <c r="G24" s="13" t="n">
        <v>41764</v>
      </c>
      <c r="H24" s="13" t="n">
        <v>41792</v>
      </c>
      <c r="I24" s="13" t="n">
        <v>41821</v>
      </c>
      <c r="J24" s="13" t="n">
        <v>41852</v>
      </c>
      <c r="K24" s="13" t="n">
        <v>41886</v>
      </c>
      <c r="L24" s="13" t="n">
        <v>41920</v>
      </c>
      <c r="M24" s="13" t="n">
        <v>41947</v>
      </c>
      <c r="N24" s="13" t="n">
        <v>41974</v>
      </c>
      <c r="O24" s="13" t="n">
        <v>42004</v>
      </c>
      <c r="P24" s="12"/>
      <c r="Q24" s="12"/>
      <c r="R24" s="12"/>
      <c r="S24" s="12"/>
    </row>
    <row r="25" customFormat="false" ht="12.75" hidden="false" customHeight="false" outlineLevel="0" collapsed="false">
      <c r="A25" s="12" t="s">
        <v>14</v>
      </c>
      <c r="B25" s="12"/>
      <c r="C25" s="14" t="n">
        <v>2490394.6</v>
      </c>
      <c r="D25" s="14" t="n">
        <v>2497766.7</v>
      </c>
      <c r="E25" s="14" t="n">
        <v>2506385.8</v>
      </c>
      <c r="F25" s="14" t="n">
        <v>2511284.8</v>
      </c>
      <c r="G25" s="14" t="n">
        <v>2515015</v>
      </c>
      <c r="H25" s="14" t="n">
        <v>2517686.7</v>
      </c>
      <c r="I25" s="14" t="n">
        <v>2518857.7</v>
      </c>
      <c r="J25" s="14" t="n">
        <v>2520714.2</v>
      </c>
      <c r="K25" s="14" t="n">
        <v>2523006.3</v>
      </c>
      <c r="L25" s="14" t="n">
        <v>2526512.8</v>
      </c>
      <c r="M25" s="14" t="n">
        <v>2531021.7</v>
      </c>
      <c r="N25" s="14" t="n">
        <v>2540310.9</v>
      </c>
      <c r="O25" s="14" t="n">
        <v>2554989.3</v>
      </c>
      <c r="P25" s="12"/>
      <c r="Q25" s="14" t="n">
        <f aca="false">SUM(O25-C25)</f>
        <v>64594.6999999997</v>
      </c>
      <c r="R25" s="12"/>
      <c r="S25" s="12"/>
    </row>
    <row r="26" customFormat="false" ht="12.75" hidden="false" customHeight="false" outlineLevel="0" collapsed="false">
      <c r="A26" s="12" t="s">
        <v>15</v>
      </c>
      <c r="B26" s="12"/>
      <c r="C26" s="14" t="n">
        <v>6928.63</v>
      </c>
      <c r="D26" s="14" t="n">
        <v>6982</v>
      </c>
      <c r="E26" s="14" t="n">
        <v>7038.57</v>
      </c>
      <c r="F26" s="14" t="n">
        <v>7080.21</v>
      </c>
      <c r="G26" s="14" t="n">
        <v>7111.11</v>
      </c>
      <c r="H26" s="14" t="n">
        <v>7159.44</v>
      </c>
      <c r="I26" s="14" t="n">
        <v>7177.2</v>
      </c>
      <c r="J26" s="14" t="n">
        <v>7206.47</v>
      </c>
      <c r="K26" s="14" t="n">
        <v>7226.77</v>
      </c>
      <c r="L26" s="14" t="n">
        <v>7274.32</v>
      </c>
      <c r="M26" s="14" t="n">
        <v>7315.9</v>
      </c>
      <c r="N26" s="14" t="n">
        <v>7378.48</v>
      </c>
      <c r="O26" s="14" t="n">
        <v>7415.92</v>
      </c>
      <c r="P26" s="12"/>
      <c r="Q26" s="12"/>
      <c r="R26" s="14" t="n">
        <f aca="false">SUM(O26-C26)</f>
        <v>487.29</v>
      </c>
      <c r="S26" s="12"/>
    </row>
    <row r="27" customFormat="false" ht="12.75" hidden="false" customHeight="false" outlineLevel="0" collapsed="false">
      <c r="A27" s="15" t="s">
        <v>19</v>
      </c>
      <c r="B27" s="12"/>
      <c r="C27" s="14" t="n">
        <v>203621.22</v>
      </c>
      <c r="D27" s="14" t="n">
        <v>204254.46</v>
      </c>
      <c r="E27" s="14" t="n">
        <v>204848.1</v>
      </c>
      <c r="F27" s="14" t="n">
        <v>205152.78</v>
      </c>
      <c r="G27" s="14" t="n">
        <v>205302.9</v>
      </c>
      <c r="H27" s="14" t="n">
        <v>205360.74</v>
      </c>
      <c r="I27" s="14" t="n">
        <v>205360.74</v>
      </c>
      <c r="J27" s="14" t="n">
        <v>205360.74</v>
      </c>
      <c r="K27" s="14" t="n">
        <v>205360.74</v>
      </c>
      <c r="L27" s="14" t="n">
        <v>205422.91</v>
      </c>
      <c r="M27" s="14" t="n">
        <v>205554.2</v>
      </c>
      <c r="N27" s="14" t="n">
        <v>205965.65</v>
      </c>
      <c r="O27" s="14" t="n">
        <v>206903.74</v>
      </c>
      <c r="P27" s="12"/>
      <c r="Q27" s="14" t="n">
        <f aca="false">SUM(O27-C27)</f>
        <v>3282.51999999999</v>
      </c>
      <c r="R27" s="12"/>
      <c r="S27" s="12"/>
    </row>
    <row r="28" customFormat="false" ht="12.75" hidden="false" customHeight="false" outlineLevel="0" collapsed="false">
      <c r="A28" s="12" t="s">
        <v>18</v>
      </c>
      <c r="B28" s="12"/>
      <c r="C28" s="14" t="n">
        <v>4865.99</v>
      </c>
      <c r="D28" s="14" t="n">
        <v>5198.32</v>
      </c>
      <c r="E28" s="14" t="n">
        <v>5601.87</v>
      </c>
      <c r="F28" s="14" t="n">
        <v>5833.84</v>
      </c>
      <c r="G28" s="14" t="n">
        <v>6015.61</v>
      </c>
      <c r="H28" s="14" t="n">
        <v>6135.654</v>
      </c>
      <c r="I28" s="14" t="n">
        <v>6142.51</v>
      </c>
      <c r="J28" s="14" t="n">
        <v>6142.512</v>
      </c>
      <c r="K28" s="14" t="n">
        <v>6142.517</v>
      </c>
      <c r="L28" s="14" t="n">
        <v>6142.52</v>
      </c>
      <c r="M28" s="14" t="n">
        <v>6142.52</v>
      </c>
      <c r="N28" s="14" t="n">
        <v>6142.52</v>
      </c>
      <c r="O28" s="14" t="n">
        <v>6142.52</v>
      </c>
      <c r="P28" s="12"/>
      <c r="Q28" s="14" t="n">
        <f aca="false">SUM(O28-C28)</f>
        <v>1276.53</v>
      </c>
      <c r="R28" s="12"/>
      <c r="S28" s="12"/>
    </row>
    <row r="33" customFormat="false" ht="15" hidden="false" customHeight="false" outlineLevel="0" collapsed="false">
      <c r="A33" s="16" t="n">
        <v>2015</v>
      </c>
      <c r="B33" s="17" t="s">
        <v>1</v>
      </c>
      <c r="C33" s="18" t="s">
        <v>2</v>
      </c>
      <c r="D33" s="18" t="s">
        <v>3</v>
      </c>
      <c r="E33" s="18" t="s">
        <v>4</v>
      </c>
      <c r="F33" s="18" t="s">
        <v>5</v>
      </c>
      <c r="G33" s="18" t="s">
        <v>6</v>
      </c>
      <c r="H33" s="18" t="s">
        <v>7</v>
      </c>
      <c r="I33" s="18" t="s">
        <v>8</v>
      </c>
      <c r="J33" s="18" t="s">
        <v>9</v>
      </c>
      <c r="K33" s="18" t="s">
        <v>10</v>
      </c>
      <c r="L33" s="18" t="s">
        <v>11</v>
      </c>
      <c r="M33" s="18" t="s">
        <v>12</v>
      </c>
      <c r="N33" s="18" t="s">
        <v>13</v>
      </c>
      <c r="O33" s="19"/>
      <c r="P33" s="19"/>
      <c r="Q33" s="19"/>
      <c r="R33" s="19"/>
      <c r="S33" s="19"/>
    </row>
    <row r="34" customFormat="false" ht="12.75" hidden="false" customHeight="false" outlineLevel="0" collapsed="false">
      <c r="A34" s="19"/>
      <c r="B34" s="19"/>
      <c r="C34" s="20" t="n">
        <v>42011</v>
      </c>
      <c r="D34" s="20" t="n">
        <v>42036</v>
      </c>
      <c r="E34" s="20" t="n">
        <v>42065</v>
      </c>
      <c r="F34" s="20" t="n">
        <v>42095</v>
      </c>
      <c r="G34" s="20" t="n">
        <v>42128</v>
      </c>
      <c r="H34" s="20" t="n">
        <v>42156</v>
      </c>
      <c r="I34" s="20" t="n">
        <v>42186</v>
      </c>
      <c r="J34" s="20" t="n">
        <v>42217</v>
      </c>
      <c r="K34" s="20" t="n">
        <v>42248</v>
      </c>
      <c r="L34" s="20" t="n">
        <v>42278</v>
      </c>
      <c r="M34" s="20" t="n">
        <v>42310</v>
      </c>
      <c r="N34" s="20" t="n">
        <v>41974</v>
      </c>
      <c r="O34" s="20" t="n">
        <v>42369</v>
      </c>
      <c r="P34" s="19"/>
      <c r="Q34" s="21" t="n">
        <f aca="false">SUM(O34-C34)</f>
        <v>358</v>
      </c>
      <c r="R34" s="19"/>
      <c r="S34" s="19"/>
    </row>
    <row r="35" customFormat="false" ht="12.75" hidden="false" customHeight="false" outlineLevel="0" collapsed="false">
      <c r="A35" s="19" t="s">
        <v>14</v>
      </c>
      <c r="B35" s="19"/>
      <c r="C35" s="21" t="n">
        <v>2554989.3</v>
      </c>
      <c r="D35" s="21" t="n">
        <v>2566447.4</v>
      </c>
      <c r="E35" s="21" t="n">
        <v>2579459.2</v>
      </c>
      <c r="F35" s="21" t="n">
        <v>2589152.6</v>
      </c>
      <c r="G35" s="21" t="n">
        <v>2595544.1</v>
      </c>
      <c r="H35" s="21" t="n">
        <v>2598595.5</v>
      </c>
      <c r="I35" s="21" t="n">
        <v>2601468.2</v>
      </c>
      <c r="J35" s="21" t="n">
        <v>2603757.6</v>
      </c>
      <c r="K35" s="21" t="n">
        <v>2605297.7</v>
      </c>
      <c r="L35" s="21" t="n">
        <v>2610168.7</v>
      </c>
      <c r="M35" s="21" t="n">
        <v>2618174.2</v>
      </c>
      <c r="N35" s="21" t="n">
        <v>2626970.1</v>
      </c>
      <c r="O35" s="19" t="n">
        <v>2640719.2</v>
      </c>
      <c r="P35" s="19"/>
      <c r="Q35" s="19"/>
      <c r="R35" s="21" t="n">
        <f aca="false">SUM(O35-C35)</f>
        <v>85729.9000000004</v>
      </c>
      <c r="S35" s="19"/>
    </row>
    <row r="36" customFormat="false" ht="12.75" hidden="false" customHeight="false" outlineLevel="0" collapsed="false">
      <c r="A36" s="19" t="s">
        <v>15</v>
      </c>
      <c r="B36" s="19"/>
      <c r="C36" s="21" t="n">
        <v>7415.92</v>
      </c>
      <c r="D36" s="21" t="n">
        <v>7468.8</v>
      </c>
      <c r="E36" s="21" t="n">
        <v>7508.4</v>
      </c>
      <c r="F36" s="21" t="n">
        <v>7566.74</v>
      </c>
      <c r="G36" s="21" t="n">
        <v>7600</v>
      </c>
      <c r="H36" s="21" t="n">
        <v>7630.2</v>
      </c>
      <c r="I36" s="21" t="n">
        <v>7686.83</v>
      </c>
      <c r="J36" s="21" t="n">
        <v>7719.35</v>
      </c>
      <c r="K36" s="21" t="n">
        <v>7746.35</v>
      </c>
      <c r="L36" s="21" t="n">
        <v>7788.97</v>
      </c>
      <c r="M36" s="21" t="n">
        <v>7857.45</v>
      </c>
      <c r="N36" s="21" t="n">
        <v>7915.36</v>
      </c>
      <c r="O36" s="19" t="n">
        <v>7953.92</v>
      </c>
      <c r="P36" s="19"/>
      <c r="Q36" s="21" t="n">
        <f aca="false">SUM(O36-C36)</f>
        <v>538</v>
      </c>
      <c r="R36" s="19"/>
      <c r="S36" s="19"/>
    </row>
    <row r="37" customFormat="false" ht="12.75" hidden="false" customHeight="false" outlineLevel="0" collapsed="false">
      <c r="A37" s="22" t="s">
        <v>19</v>
      </c>
      <c r="B37" s="19"/>
      <c r="C37" s="21" t="n">
        <v>206903.74</v>
      </c>
      <c r="D37" s="21" t="n">
        <v>207612.78</v>
      </c>
      <c r="E37" s="21" t="n">
        <v>208422.7</v>
      </c>
      <c r="F37" s="21" t="n">
        <v>208893.7</v>
      </c>
      <c r="G37" s="21" t="n">
        <v>209121.39</v>
      </c>
      <c r="H37" s="21" t="n">
        <v>209122.7</v>
      </c>
      <c r="I37" s="21" t="n">
        <v>209122.7</v>
      </c>
      <c r="J37" s="21" t="n">
        <v>209122.77</v>
      </c>
      <c r="K37" s="21" t="n">
        <v>209122.77</v>
      </c>
      <c r="L37" s="21" t="n">
        <v>209191.9</v>
      </c>
      <c r="M37" s="21" t="n">
        <v>209469.99</v>
      </c>
      <c r="N37" s="21" t="n">
        <v>209899.11</v>
      </c>
      <c r="O37" s="19" t="n">
        <v>210611.2</v>
      </c>
      <c r="P37" s="19"/>
      <c r="Q37" s="21" t="n">
        <f aca="false">SUM(O37-C37)</f>
        <v>3707.46000000002</v>
      </c>
      <c r="R37" s="19"/>
      <c r="S37" s="19"/>
    </row>
    <row r="38" customFormat="false" ht="12.75" hidden="false" customHeight="false" outlineLevel="0" collapsed="false">
      <c r="A38" s="23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3"/>
      <c r="Q38" s="24"/>
      <c r="R38" s="23"/>
      <c r="S38" s="23"/>
    </row>
    <row r="39" customFormat="false" ht="12.75" hidden="false" customHeight="false" outlineLevel="0" collapsed="false">
      <c r="Q39" s="23"/>
      <c r="R39" s="23"/>
    </row>
    <row r="42" customFormat="false" ht="15" hidden="false" customHeight="false" outlineLevel="0" collapsed="false">
      <c r="A42" s="16" t="n">
        <v>2016</v>
      </c>
      <c r="B42" s="17" t="s">
        <v>1</v>
      </c>
      <c r="C42" s="18" t="s">
        <v>2</v>
      </c>
      <c r="D42" s="18" t="s">
        <v>3</v>
      </c>
      <c r="E42" s="18" t="s">
        <v>4</v>
      </c>
      <c r="F42" s="18" t="s">
        <v>5</v>
      </c>
      <c r="G42" s="18" t="s">
        <v>6</v>
      </c>
      <c r="H42" s="18" t="s">
        <v>7</v>
      </c>
      <c r="I42" s="18" t="s">
        <v>8</v>
      </c>
      <c r="J42" s="18" t="s">
        <v>9</v>
      </c>
      <c r="K42" s="18" t="s">
        <v>10</v>
      </c>
      <c r="L42" s="18" t="s">
        <v>11</v>
      </c>
      <c r="M42" s="18" t="s">
        <v>12</v>
      </c>
      <c r="N42" s="18" t="s">
        <v>13</v>
      </c>
      <c r="O42" s="19"/>
      <c r="P42" s="19"/>
      <c r="Q42" s="19"/>
      <c r="R42" s="19"/>
      <c r="S42" s="19"/>
    </row>
    <row r="43" customFormat="false" ht="12.75" hidden="false" customHeight="false" outlineLevel="0" collapsed="false">
      <c r="A43" s="19"/>
      <c r="B43" s="19"/>
      <c r="C43" s="20" t="n">
        <v>42376</v>
      </c>
      <c r="D43" s="20" t="n">
        <v>42402</v>
      </c>
      <c r="E43" s="20" t="n">
        <v>42430</v>
      </c>
      <c r="F43" s="20" t="n">
        <v>42461</v>
      </c>
      <c r="G43" s="20" t="n">
        <v>42492</v>
      </c>
      <c r="H43" s="20" t="n">
        <v>42522</v>
      </c>
      <c r="I43" s="20" t="n">
        <v>42552</v>
      </c>
      <c r="J43" s="20" t="n">
        <v>42594</v>
      </c>
      <c r="K43" s="20" t="n">
        <v>42614</v>
      </c>
      <c r="L43" s="20" t="n">
        <v>42644</v>
      </c>
      <c r="M43" s="20" t="n">
        <v>42676</v>
      </c>
      <c r="N43" s="20" t="n">
        <v>42705</v>
      </c>
      <c r="O43" s="20" t="n">
        <v>42735</v>
      </c>
      <c r="P43" s="19"/>
      <c r="Q43" s="21" t="n">
        <f aca="false">SUM(O43-C43)</f>
        <v>359</v>
      </c>
      <c r="R43" s="19"/>
      <c r="S43" s="19"/>
    </row>
    <row r="44" customFormat="false" ht="12.75" hidden="false" customHeight="false" outlineLevel="0" collapsed="false">
      <c r="A44" s="19" t="s">
        <v>14</v>
      </c>
      <c r="B44" s="19"/>
      <c r="C44" s="21" t="n">
        <v>2640719.2</v>
      </c>
      <c r="D44" s="21" t="n">
        <v>2650552.4</v>
      </c>
      <c r="E44" s="21" t="n">
        <v>2661835.3</v>
      </c>
      <c r="F44" s="21" t="n">
        <v>2672823.1</v>
      </c>
      <c r="G44" s="21" t="n">
        <v>2680927.7</v>
      </c>
      <c r="H44" s="21" t="n">
        <v>2685900.2</v>
      </c>
      <c r="I44" s="21" t="n">
        <v>2689055.5</v>
      </c>
      <c r="J44" s="21" t="n">
        <v>2692781.6</v>
      </c>
      <c r="K44" s="21" t="n">
        <v>2694316.9</v>
      </c>
      <c r="L44" s="21" t="n">
        <v>2698948.3</v>
      </c>
      <c r="M44" s="21" t="n">
        <v>2706188.4</v>
      </c>
      <c r="N44" s="21" t="n">
        <v>2717395.6</v>
      </c>
      <c r="O44" s="19" t="n">
        <v>2735689.3</v>
      </c>
      <c r="P44" s="19"/>
      <c r="Q44" s="19"/>
      <c r="R44" s="21" t="n">
        <f aca="false">SUM(O44-C44)</f>
        <v>94970.0999999996</v>
      </c>
      <c r="S44" s="19"/>
    </row>
    <row r="45" customFormat="false" ht="12.75" hidden="false" customHeight="false" outlineLevel="0" collapsed="false">
      <c r="A45" s="19" t="s">
        <v>15</v>
      </c>
      <c r="B45" s="19"/>
      <c r="C45" s="21" t="n">
        <v>7953.92</v>
      </c>
      <c r="D45" s="21" t="n">
        <v>8002.1</v>
      </c>
      <c r="E45" s="21" t="n">
        <v>8041.62</v>
      </c>
      <c r="F45" s="21" t="n">
        <v>8073.22</v>
      </c>
      <c r="G45" s="21" t="n">
        <v>8128.37</v>
      </c>
      <c r="H45" s="21" t="n">
        <v>8156.48</v>
      </c>
      <c r="I45" s="21" t="n">
        <v>8224.2</v>
      </c>
      <c r="J45" s="21" t="n">
        <v>8286.12</v>
      </c>
      <c r="K45" s="21" t="n">
        <v>8286.12</v>
      </c>
      <c r="L45" s="21" t="n">
        <v>8335.7</v>
      </c>
      <c r="M45" s="21" t="n">
        <v>8379.5</v>
      </c>
      <c r="N45" s="21" t="n">
        <v>8431.88</v>
      </c>
      <c r="O45" s="19" t="n">
        <v>8476.4</v>
      </c>
      <c r="P45" s="19"/>
      <c r="Q45" s="21" t="n">
        <f aca="false">SUM(O45-C45)</f>
        <v>522.48</v>
      </c>
      <c r="R45" s="19"/>
      <c r="S45" s="19"/>
    </row>
    <row r="46" customFormat="false" ht="12.75" hidden="false" customHeight="false" outlineLevel="0" collapsed="false">
      <c r="A46" s="22" t="s">
        <v>19</v>
      </c>
      <c r="B46" s="19"/>
      <c r="C46" s="21" t="n">
        <v>210611.2</v>
      </c>
      <c r="D46" s="21" t="n">
        <v>211170.9</v>
      </c>
      <c r="E46" s="21" t="n">
        <v>211881.8</v>
      </c>
      <c r="F46" s="21" t="n">
        <v>212442.18</v>
      </c>
      <c r="G46" s="21" t="n">
        <v>212727</v>
      </c>
      <c r="H46" s="21" t="n">
        <v>212777.5</v>
      </c>
      <c r="I46" s="21" t="n">
        <v>212777.5</v>
      </c>
      <c r="J46" s="21" t="n">
        <v>212777.5</v>
      </c>
      <c r="K46" s="21" t="n">
        <v>212777.58</v>
      </c>
      <c r="L46" s="21" t="n">
        <v>212841.3</v>
      </c>
      <c r="M46" s="21" t="n">
        <v>213063.9</v>
      </c>
      <c r="N46" s="21" t="n">
        <v>213671.5</v>
      </c>
      <c r="O46" s="19" t="n">
        <v>214762.22</v>
      </c>
      <c r="P46" s="19"/>
      <c r="Q46" s="21" t="n">
        <f aca="false">SUM(O46-C46)</f>
        <v>4151.01999999999</v>
      </c>
      <c r="R46" s="19"/>
      <c r="S46" s="19"/>
    </row>
    <row r="50" customFormat="false" ht="15" hidden="false" customHeight="false" outlineLevel="0" collapsed="false">
      <c r="A50" s="25" t="n">
        <v>2017</v>
      </c>
      <c r="B50" s="26" t="s">
        <v>1</v>
      </c>
      <c r="C50" s="27" t="s">
        <v>2</v>
      </c>
      <c r="D50" s="27" t="s">
        <v>3</v>
      </c>
      <c r="E50" s="27" t="s">
        <v>4</v>
      </c>
      <c r="F50" s="27" t="s">
        <v>5</v>
      </c>
      <c r="G50" s="27" t="s">
        <v>6</v>
      </c>
      <c r="H50" s="27" t="s">
        <v>7</v>
      </c>
      <c r="I50" s="27" t="s">
        <v>8</v>
      </c>
      <c r="J50" s="27" t="s">
        <v>9</v>
      </c>
      <c r="K50" s="27" t="s">
        <v>10</v>
      </c>
      <c r="L50" s="27" t="s">
        <v>11</v>
      </c>
      <c r="M50" s="27" t="s">
        <v>12</v>
      </c>
      <c r="N50" s="27" t="s">
        <v>13</v>
      </c>
      <c r="O50" s="28"/>
      <c r="P50" s="28"/>
      <c r="Q50" s="28"/>
      <c r="R50" s="28"/>
      <c r="S50" s="28"/>
    </row>
    <row r="51" customFormat="false" ht="12.75" hidden="false" customHeight="false" outlineLevel="0" collapsed="false">
      <c r="A51" s="28"/>
      <c r="B51" s="28"/>
      <c r="C51" s="29" t="n">
        <v>42744</v>
      </c>
      <c r="D51" s="29" t="n">
        <v>42767</v>
      </c>
      <c r="E51" s="29" t="n">
        <v>42800</v>
      </c>
      <c r="F51" s="29" t="n">
        <v>42826</v>
      </c>
      <c r="G51" s="29" t="n">
        <v>42857</v>
      </c>
      <c r="H51" s="29" t="n">
        <v>42887</v>
      </c>
      <c r="I51" s="29" t="n">
        <v>42917</v>
      </c>
      <c r="J51" s="29" t="n">
        <v>42948</v>
      </c>
      <c r="K51" s="29" t="n">
        <v>42979</v>
      </c>
      <c r="L51" s="29" t="n">
        <v>43012</v>
      </c>
      <c r="M51" s="29" t="n">
        <v>43041</v>
      </c>
      <c r="N51" s="29" t="n">
        <v>43070</v>
      </c>
      <c r="O51" s="29" t="n">
        <v>43100</v>
      </c>
      <c r="P51" s="28"/>
      <c r="Q51" s="30" t="n">
        <f aca="false">SUM(O51-C51)</f>
        <v>356</v>
      </c>
      <c r="R51" s="28"/>
      <c r="S51" s="28"/>
    </row>
    <row r="52" customFormat="false" ht="12.75" hidden="false" customHeight="false" outlineLevel="0" collapsed="false">
      <c r="A52" s="28" t="s">
        <v>14</v>
      </c>
      <c r="B52" s="28"/>
      <c r="C52" s="30" t="n">
        <v>2735689.3</v>
      </c>
      <c r="D52" s="30" t="n">
        <v>2747740.5</v>
      </c>
      <c r="E52" s="30" t="n">
        <v>2760193</v>
      </c>
      <c r="F52" s="30" t="n">
        <v>2767825.5</v>
      </c>
      <c r="G52" s="30" t="n">
        <v>2774730.9</v>
      </c>
      <c r="H52" s="30" t="n">
        <v>2779241.3</v>
      </c>
      <c r="I52" s="30" t="n">
        <v>2781920</v>
      </c>
      <c r="J52" s="30" t="n">
        <v>2783594.5</v>
      </c>
      <c r="K52" s="30" t="n">
        <v>2786158</v>
      </c>
      <c r="L52" s="30" t="n">
        <v>2792582.8</v>
      </c>
      <c r="M52" s="30" t="n">
        <v>2797836.3</v>
      </c>
      <c r="N52" s="30" t="n">
        <v>2808347.9</v>
      </c>
      <c r="O52" s="30" t="n">
        <v>2824187</v>
      </c>
      <c r="P52" s="28"/>
      <c r="Q52" s="28"/>
      <c r="R52" s="30" t="n">
        <f aca="false">SUM(O52-C52)</f>
        <v>88497.7000000002</v>
      </c>
      <c r="S52" s="28"/>
    </row>
    <row r="53" customFormat="false" ht="12.75" hidden="false" customHeight="false" outlineLevel="0" collapsed="false">
      <c r="A53" s="28" t="s">
        <v>15</v>
      </c>
      <c r="B53" s="28"/>
      <c r="C53" s="30" t="n">
        <v>8476.4</v>
      </c>
      <c r="D53" s="30" t="n">
        <v>8512.1</v>
      </c>
      <c r="E53" s="30" t="n">
        <v>8558.8</v>
      </c>
      <c r="F53" s="30" t="n">
        <v>8607.1</v>
      </c>
      <c r="G53" s="30" t="n">
        <v>8633.17</v>
      </c>
      <c r="H53" s="30" t="n">
        <v>8678.4</v>
      </c>
      <c r="I53" s="30" t="n">
        <v>8714.29</v>
      </c>
      <c r="J53" s="30" t="n">
        <v>8732</v>
      </c>
      <c r="K53" s="30" t="n">
        <v>8755.9</v>
      </c>
      <c r="L53" s="30" t="n">
        <v>8810.13</v>
      </c>
      <c r="M53" s="30" t="n">
        <v>8853.62</v>
      </c>
      <c r="N53" s="30" t="n">
        <v>8900.1</v>
      </c>
      <c r="O53" s="30" t="n">
        <v>8947.18</v>
      </c>
      <c r="P53" s="28"/>
      <c r="Q53" s="30" t="n">
        <f aca="false">SUM(O53-C53)</f>
        <v>470.780000000001</v>
      </c>
      <c r="R53" s="28"/>
      <c r="S53" s="28"/>
    </row>
    <row r="54" customFormat="false" ht="12.75" hidden="false" customHeight="false" outlineLevel="0" collapsed="false">
      <c r="A54" s="31" t="s">
        <v>19</v>
      </c>
      <c r="B54" s="28"/>
      <c r="C54" s="30" t="n">
        <v>214762.22</v>
      </c>
      <c r="D54" s="30" t="n">
        <v>215604.7</v>
      </c>
      <c r="E54" s="30" t="n">
        <v>216325.71</v>
      </c>
      <c r="F54" s="30" t="n">
        <v>216640.8</v>
      </c>
      <c r="G54" s="30" t="n">
        <v>216874.2</v>
      </c>
      <c r="H54" s="30" t="n">
        <v>216955.3</v>
      </c>
      <c r="I54" s="30" t="n">
        <v>216955.5</v>
      </c>
      <c r="J54" s="30" t="n">
        <v>216955.7</v>
      </c>
      <c r="K54" s="30" t="n">
        <v>216955.7</v>
      </c>
      <c r="L54" s="30" t="n">
        <v>217049.4</v>
      </c>
      <c r="M54" s="30" t="n">
        <v>217290.52</v>
      </c>
      <c r="N54" s="30" t="n">
        <v>217733.2</v>
      </c>
      <c r="O54" s="30" t="n">
        <v>218543.6</v>
      </c>
      <c r="P54" s="28"/>
      <c r="Q54" s="30" t="n">
        <f aca="false">SUM(O54-C54)</f>
        <v>3781.38</v>
      </c>
      <c r="R54" s="28"/>
      <c r="S54" s="28"/>
    </row>
    <row r="58" customFormat="false" ht="15" hidden="false" customHeight="false" outlineLevel="0" collapsed="false">
      <c r="A58" s="32" t="n">
        <v>2018</v>
      </c>
      <c r="B58" s="33" t="s">
        <v>1</v>
      </c>
      <c r="C58" s="34" t="s">
        <v>2</v>
      </c>
      <c r="D58" s="34" t="s">
        <v>3</v>
      </c>
      <c r="E58" s="34" t="s">
        <v>4</v>
      </c>
      <c r="F58" s="34" t="s">
        <v>5</v>
      </c>
      <c r="G58" s="34" t="s">
        <v>6</v>
      </c>
      <c r="H58" s="34" t="s">
        <v>7</v>
      </c>
      <c r="I58" s="34" t="s">
        <v>8</v>
      </c>
      <c r="J58" s="34" t="s">
        <v>9</v>
      </c>
      <c r="K58" s="34" t="s">
        <v>10</v>
      </c>
      <c r="L58" s="34" t="s">
        <v>11</v>
      </c>
      <c r="M58" s="34" t="s">
        <v>12</v>
      </c>
      <c r="N58" s="34" t="s">
        <v>13</v>
      </c>
      <c r="O58" s="35"/>
      <c r="P58" s="35"/>
      <c r="Q58" s="35"/>
      <c r="R58" s="35"/>
      <c r="S58" s="35"/>
    </row>
    <row r="59" customFormat="false" ht="12.75" hidden="false" customHeight="false" outlineLevel="0" collapsed="false">
      <c r="A59" s="35"/>
      <c r="B59" s="35"/>
      <c r="C59" s="36" t="n">
        <v>43109</v>
      </c>
      <c r="D59" s="36" t="n">
        <v>43132</v>
      </c>
      <c r="E59" s="36" t="n">
        <v>43160</v>
      </c>
      <c r="F59" s="36" t="n">
        <v>43193</v>
      </c>
      <c r="G59" s="36" t="n">
        <v>43222</v>
      </c>
      <c r="H59" s="36" t="n">
        <v>43255</v>
      </c>
      <c r="I59" s="36" t="n">
        <v>43282</v>
      </c>
      <c r="J59" s="36" t="n">
        <v>43319</v>
      </c>
      <c r="K59" s="36" t="n">
        <v>43346</v>
      </c>
      <c r="L59" s="36" t="n">
        <v>43374</v>
      </c>
      <c r="M59" s="36" t="n">
        <v>43409</v>
      </c>
      <c r="N59" s="36" t="n">
        <v>43437</v>
      </c>
      <c r="O59" s="36" t="n">
        <v>43465</v>
      </c>
      <c r="P59" s="35"/>
      <c r="Q59" s="37" t="n">
        <f aca="false">SUM(O59-C59)</f>
        <v>356</v>
      </c>
      <c r="R59" s="35"/>
      <c r="S59" s="35"/>
    </row>
    <row r="60" customFormat="false" ht="12.75" hidden="false" customHeight="false" outlineLevel="0" collapsed="false">
      <c r="A60" s="35" t="s">
        <v>14</v>
      </c>
      <c r="B60" s="35"/>
      <c r="C60" s="37" t="n">
        <v>2824187</v>
      </c>
      <c r="D60" s="37" t="n">
        <v>2833779</v>
      </c>
      <c r="E60" s="37" t="n">
        <v>2847096.3</v>
      </c>
      <c r="F60" s="37" t="n">
        <v>2858403.6</v>
      </c>
      <c r="G60" s="37" t="n">
        <v>2861526.3</v>
      </c>
      <c r="H60" s="37" t="n">
        <v>2864658.3</v>
      </c>
      <c r="I60" s="37" t="n">
        <v>2866907</v>
      </c>
      <c r="J60" s="37" t="n">
        <v>2869623.2</v>
      </c>
      <c r="K60" s="37" t="n">
        <v>2871597.5</v>
      </c>
      <c r="L60" s="37" t="n">
        <v>2873905.1</v>
      </c>
      <c r="M60" s="37" t="n">
        <v>2879592.2</v>
      </c>
      <c r="N60" s="37" t="n">
        <v>2889220.1</v>
      </c>
      <c r="O60" s="37" t="n">
        <v>2903435.2</v>
      </c>
      <c r="P60" s="35"/>
      <c r="Q60" s="35"/>
      <c r="R60" s="37" t="n">
        <f aca="false">SUM(O60-C60)</f>
        <v>79248.2000000002</v>
      </c>
      <c r="S60" s="35"/>
    </row>
    <row r="61" customFormat="false" ht="12.75" hidden="false" customHeight="false" outlineLevel="0" collapsed="false">
      <c r="A61" s="35" t="s">
        <v>15</v>
      </c>
      <c r="B61" s="35"/>
      <c r="C61" s="37" t="n">
        <v>8947.18</v>
      </c>
      <c r="D61" s="37" t="n">
        <v>8990.66</v>
      </c>
      <c r="E61" s="37" t="n">
        <v>9018.57</v>
      </c>
      <c r="F61" s="37" t="n">
        <v>9059</v>
      </c>
      <c r="G61" s="37" t="n">
        <v>9097.6</v>
      </c>
      <c r="H61" s="37" t="n">
        <v>9134</v>
      </c>
      <c r="I61" s="37" t="n">
        <v>9196</v>
      </c>
      <c r="J61" s="37" t="n">
        <v>9219.22</v>
      </c>
      <c r="K61" s="37" t="n">
        <v>9219.22</v>
      </c>
      <c r="L61" s="37" t="n">
        <v>9270.39</v>
      </c>
      <c r="M61" s="37" t="n">
        <v>9312.49</v>
      </c>
      <c r="N61" s="37" t="n">
        <v>9359.4</v>
      </c>
      <c r="O61" s="37" t="n">
        <v>9392</v>
      </c>
      <c r="P61" s="35"/>
      <c r="Q61" s="37" t="n">
        <f aca="false">SUM(O61-C61)</f>
        <v>444.82</v>
      </c>
      <c r="R61" s="35"/>
      <c r="S61" s="35"/>
    </row>
    <row r="62" customFormat="false" ht="12.75" hidden="false" customHeight="false" outlineLevel="0" collapsed="false">
      <c r="A62" s="38" t="s">
        <v>19</v>
      </c>
      <c r="B62" s="35"/>
      <c r="C62" s="37" t="n">
        <v>1588.3</v>
      </c>
      <c r="D62" s="37" t="n">
        <v>2146.8</v>
      </c>
      <c r="E62" s="37" t="n">
        <v>3095.96</v>
      </c>
      <c r="F62" s="37" t="n">
        <v>3659.72</v>
      </c>
      <c r="G62" s="37" t="n">
        <v>3764.82</v>
      </c>
      <c r="H62" s="37" t="n">
        <v>3785.9</v>
      </c>
      <c r="I62" s="37" t="n">
        <v>3785.9</v>
      </c>
      <c r="J62" s="37" t="n">
        <v>3785.9</v>
      </c>
      <c r="K62" s="37" t="n">
        <v>3785.9</v>
      </c>
      <c r="L62" s="37" t="n">
        <v>3804.6</v>
      </c>
      <c r="M62" s="37" t="n">
        <v>3935</v>
      </c>
      <c r="N62" s="37" t="n">
        <v>4479.2</v>
      </c>
      <c r="O62" s="37" t="n">
        <v>5385.26</v>
      </c>
      <c r="P62" s="35"/>
      <c r="Q62" s="37" t="n">
        <f aca="false">SUM(O62-C62)</f>
        <v>3796.96</v>
      </c>
      <c r="R62" s="35"/>
      <c r="S62" s="35"/>
    </row>
    <row r="66" customFormat="false" ht="15" hidden="false" customHeight="false" outlineLevel="0" collapsed="false">
      <c r="A66" s="32" t="n">
        <v>2019</v>
      </c>
      <c r="B66" s="33" t="s">
        <v>1</v>
      </c>
      <c r="C66" s="34" t="s">
        <v>2</v>
      </c>
      <c r="D66" s="34" t="s">
        <v>3</v>
      </c>
      <c r="E66" s="34" t="s">
        <v>4</v>
      </c>
      <c r="F66" s="34" t="s">
        <v>5</v>
      </c>
      <c r="G66" s="34" t="s">
        <v>6</v>
      </c>
      <c r="H66" s="34" t="s">
        <v>7</v>
      </c>
      <c r="I66" s="34" t="s">
        <v>8</v>
      </c>
      <c r="J66" s="34" t="s">
        <v>9</v>
      </c>
      <c r="K66" s="34" t="s">
        <v>10</v>
      </c>
      <c r="L66" s="34" t="s">
        <v>11</v>
      </c>
      <c r="M66" s="34" t="s">
        <v>12</v>
      </c>
      <c r="N66" s="34" t="s">
        <v>13</v>
      </c>
      <c r="O66" s="35"/>
      <c r="P66" s="35"/>
      <c r="Q66" s="35"/>
      <c r="R66" s="35"/>
      <c r="S66" s="35"/>
    </row>
    <row r="67" customFormat="false" ht="12.75" hidden="false" customHeight="false" outlineLevel="0" collapsed="false">
      <c r="A67" s="35"/>
      <c r="B67" s="35"/>
      <c r="C67" s="36" t="n">
        <v>43472</v>
      </c>
      <c r="D67" s="36" t="n">
        <v>43497</v>
      </c>
      <c r="E67" s="36" t="n">
        <v>43525</v>
      </c>
      <c r="F67" s="36" t="n">
        <v>43556</v>
      </c>
      <c r="G67" s="36" t="n">
        <v>43587</v>
      </c>
      <c r="H67" s="36" t="n">
        <v>43619</v>
      </c>
      <c r="I67" s="36" t="n">
        <v>43647</v>
      </c>
      <c r="J67" s="36" t="n">
        <v>43691</v>
      </c>
      <c r="K67" s="36" t="n">
        <v>43718</v>
      </c>
      <c r="L67" s="36" t="n">
        <v>43739</v>
      </c>
      <c r="M67" s="36" t="n">
        <v>43770</v>
      </c>
      <c r="N67" s="36" t="n">
        <v>43804</v>
      </c>
      <c r="O67" s="36" t="n">
        <v>43830</v>
      </c>
      <c r="P67" s="35"/>
      <c r="Q67" s="37" t="n">
        <f aca="false">SUM(O67-C67)</f>
        <v>358</v>
      </c>
      <c r="R67" s="35"/>
      <c r="S67" s="35"/>
    </row>
    <row r="68" customFormat="false" ht="12.75" hidden="false" customHeight="false" outlineLevel="0" collapsed="false">
      <c r="A68" s="35" t="s">
        <v>14</v>
      </c>
      <c r="B68" s="35"/>
      <c r="C68" s="37" t="n">
        <v>2903435.2</v>
      </c>
      <c r="D68" s="37" t="n">
        <v>2915511.2</v>
      </c>
      <c r="E68" s="37" t="n">
        <v>2926852.4</v>
      </c>
      <c r="F68" s="37" t="n">
        <v>2936525.2</v>
      </c>
      <c r="G68" s="37" t="n">
        <v>2943479.3</v>
      </c>
      <c r="H68" s="37" t="n">
        <v>2949614</v>
      </c>
      <c r="I68" s="37" t="n">
        <v>2951939.2</v>
      </c>
      <c r="J68" s="37" t="n">
        <v>2955621.2</v>
      </c>
      <c r="K68" s="37" t="n">
        <v>2958164</v>
      </c>
      <c r="L68" s="37" t="n">
        <v>2961226.6</v>
      </c>
      <c r="M68" s="37" t="n">
        <v>2965962.9</v>
      </c>
      <c r="N68" s="37" t="n">
        <v>2980873</v>
      </c>
      <c r="O68" s="37" t="n">
        <v>2986369.1</v>
      </c>
      <c r="P68" s="35"/>
      <c r="Q68" s="35"/>
      <c r="R68" s="37" t="n">
        <f aca="false">SUM(O68-C68)</f>
        <v>82933.8999999999</v>
      </c>
      <c r="S68" s="35"/>
    </row>
    <row r="69" customFormat="false" ht="12.75" hidden="false" customHeight="false" outlineLevel="0" collapsed="false">
      <c r="A69" s="35" t="s">
        <v>15</v>
      </c>
      <c r="B69" s="35"/>
      <c r="C69" s="37" t="n">
        <v>9392</v>
      </c>
      <c r="D69" s="37" t="n">
        <v>9433.62</v>
      </c>
      <c r="E69" s="37" t="n">
        <v>9481.74</v>
      </c>
      <c r="F69" s="37" t="n">
        <v>9516.17</v>
      </c>
      <c r="G69" s="37" t="n">
        <v>9547.43</v>
      </c>
      <c r="H69" s="37" t="n">
        <v>9585.27</v>
      </c>
      <c r="I69" s="37" t="n">
        <v>9598.49</v>
      </c>
      <c r="J69" s="37" t="n">
        <v>9639.39</v>
      </c>
      <c r="K69" s="37" t="n">
        <v>9641.18</v>
      </c>
      <c r="L69" s="37" t="n">
        <v>9681.23</v>
      </c>
      <c r="M69" s="37" t="n">
        <v>9724.67</v>
      </c>
      <c r="N69" s="37" t="n">
        <v>9791.7</v>
      </c>
      <c r="O69" s="37" t="n">
        <v>9807.53</v>
      </c>
      <c r="P69" s="35"/>
      <c r="Q69" s="37" t="n">
        <f aca="false">SUM(O69-C69)</f>
        <v>415.530000000001</v>
      </c>
      <c r="R69" s="35"/>
      <c r="S69" s="35"/>
    </row>
    <row r="70" customFormat="false" ht="12.75" hidden="false" customHeight="false" outlineLevel="0" collapsed="false">
      <c r="A70" s="38" t="s">
        <v>19</v>
      </c>
      <c r="B70" s="35"/>
      <c r="C70" s="37" t="n">
        <v>5385.26</v>
      </c>
      <c r="D70" s="37" t="n">
        <v>6178.67</v>
      </c>
      <c r="E70" s="37" t="n">
        <v>6800</v>
      </c>
      <c r="F70" s="37" t="n">
        <v>7156.7</v>
      </c>
      <c r="G70" s="37" t="n">
        <v>7315.2</v>
      </c>
      <c r="H70" s="37" t="n">
        <v>7447.66</v>
      </c>
      <c r="I70" s="37" t="n">
        <v>7447.66</v>
      </c>
      <c r="J70" s="37" t="n">
        <v>7447.66</v>
      </c>
      <c r="K70" s="37" t="n">
        <v>7540.46</v>
      </c>
      <c r="L70" s="37" t="n">
        <v>7589.19</v>
      </c>
      <c r="M70" s="37" t="n">
        <v>7622</v>
      </c>
      <c r="N70" s="37" t="n">
        <v>8464.41</v>
      </c>
      <c r="O70" s="37" t="n">
        <v>8728.07</v>
      </c>
      <c r="P70" s="35"/>
      <c r="Q70" s="37" t="n">
        <f aca="false">SUM(O70-C70)</f>
        <v>3342.81</v>
      </c>
      <c r="R70" s="35"/>
      <c r="S70" s="35"/>
    </row>
    <row r="74" customFormat="false" ht="15" hidden="false" customHeight="false" outlineLevel="0" collapsed="false">
      <c r="A74" s="39" t="n">
        <v>2020</v>
      </c>
      <c r="B74" s="40" t="s">
        <v>1</v>
      </c>
      <c r="C74" s="41" t="s">
        <v>2</v>
      </c>
      <c r="D74" s="41" t="s">
        <v>3</v>
      </c>
      <c r="E74" s="41" t="s">
        <v>4</v>
      </c>
      <c r="F74" s="41" t="s">
        <v>5</v>
      </c>
      <c r="G74" s="41" t="s">
        <v>6</v>
      </c>
      <c r="H74" s="41" t="s">
        <v>7</v>
      </c>
      <c r="I74" s="41" t="s">
        <v>8</v>
      </c>
      <c r="J74" s="41" t="s">
        <v>9</v>
      </c>
      <c r="K74" s="41" t="s">
        <v>10</v>
      </c>
      <c r="L74" s="41" t="s">
        <v>11</v>
      </c>
      <c r="M74" s="41" t="s">
        <v>12</v>
      </c>
      <c r="N74" s="41" t="s">
        <v>13</v>
      </c>
      <c r="O74" s="42"/>
      <c r="P74" s="42"/>
      <c r="Q74" s="42"/>
      <c r="R74" s="42"/>
      <c r="S74" s="42"/>
    </row>
    <row r="75" customFormat="false" ht="12.75" hidden="false" customHeight="false" outlineLevel="0" collapsed="false">
      <c r="A75" s="42"/>
      <c r="B75" s="42"/>
      <c r="C75" s="43" t="n">
        <v>43830</v>
      </c>
      <c r="D75" s="43" t="n">
        <v>43864</v>
      </c>
      <c r="E75" s="43" t="n">
        <v>43892</v>
      </c>
      <c r="F75" s="43" t="n">
        <v>43922</v>
      </c>
      <c r="G75" s="43" t="n">
        <v>43955</v>
      </c>
      <c r="H75" s="43" t="n">
        <v>43984</v>
      </c>
      <c r="I75" s="43" t="n">
        <v>44013</v>
      </c>
      <c r="J75" s="43" t="n">
        <v>44046</v>
      </c>
      <c r="K75" s="43" t="n">
        <v>44075</v>
      </c>
      <c r="L75" s="43" t="n">
        <v>44105</v>
      </c>
      <c r="M75" s="43" t="n">
        <v>44138</v>
      </c>
      <c r="N75" s="43" t="n">
        <v>44166</v>
      </c>
      <c r="O75" s="43" t="n">
        <v>44196</v>
      </c>
      <c r="P75" s="42"/>
      <c r="Q75" s="44" t="n">
        <f aca="false">SUM(O75-C75)</f>
        <v>366</v>
      </c>
      <c r="R75" s="42"/>
      <c r="S75" s="42"/>
    </row>
    <row r="76" customFormat="false" ht="12.75" hidden="false" customHeight="false" outlineLevel="0" collapsed="false">
      <c r="A76" s="42" t="s">
        <v>14</v>
      </c>
      <c r="B76" s="42"/>
      <c r="C76" s="44" t="n">
        <v>2986396.1</v>
      </c>
      <c r="D76" s="44" t="n">
        <v>3004529.2</v>
      </c>
      <c r="E76" s="44" t="n">
        <v>3014489.2</v>
      </c>
      <c r="F76" s="44" t="n">
        <v>3023627.4</v>
      </c>
      <c r="G76" s="44" t="n">
        <v>3028918.5</v>
      </c>
      <c r="H76" s="44" t="n">
        <v>3033731.8</v>
      </c>
      <c r="I76" s="44" t="n">
        <v>3036600</v>
      </c>
      <c r="J76" s="44" t="n">
        <v>3039051.2</v>
      </c>
      <c r="K76" s="44" t="n">
        <v>3041302.8</v>
      </c>
      <c r="L76" s="44" t="n">
        <v>3046097.9</v>
      </c>
      <c r="M76" s="44" t="n">
        <v>3055532.1</v>
      </c>
      <c r="N76" s="44" t="n">
        <v>3066788.2</v>
      </c>
      <c r="O76" s="44" t="n">
        <v>3084107.5</v>
      </c>
      <c r="P76" s="42"/>
      <c r="Q76" s="42"/>
      <c r="R76" s="44" t="n">
        <f aca="false">SUM(O76-C76)</f>
        <v>97711.3999999999</v>
      </c>
      <c r="S76" s="42"/>
    </row>
    <row r="77" customFormat="false" ht="12.75" hidden="false" customHeight="false" outlineLevel="0" collapsed="false">
      <c r="A77" s="42" t="s">
        <v>15</v>
      </c>
      <c r="B77" s="42"/>
      <c r="C77" s="44" t="n">
        <v>9807.53</v>
      </c>
      <c r="D77" s="44" t="n">
        <v>9859.41</v>
      </c>
      <c r="E77" s="44" t="n">
        <v>9887.72</v>
      </c>
      <c r="F77" s="44" t="n">
        <v>9916.43</v>
      </c>
      <c r="G77" s="44" t="n">
        <v>9917</v>
      </c>
      <c r="H77" s="44" t="n">
        <v>9931</v>
      </c>
      <c r="I77" s="44" t="n">
        <v>9931.67</v>
      </c>
      <c r="J77" s="44" t="n">
        <v>9932.61</v>
      </c>
      <c r="K77" s="44" t="n">
        <v>9932.62</v>
      </c>
      <c r="L77" s="44" t="n">
        <v>9979.31</v>
      </c>
      <c r="M77" s="44" t="n">
        <v>10022.99</v>
      </c>
      <c r="N77" s="44" t="n">
        <v>10092.41</v>
      </c>
      <c r="O77" s="44" t="n">
        <v>10122.35</v>
      </c>
      <c r="P77" s="42"/>
      <c r="Q77" s="44" t="n">
        <f aca="false">SUM(O77-C77)</f>
        <v>314.82</v>
      </c>
      <c r="R77" s="42"/>
      <c r="S77" s="42"/>
    </row>
    <row r="78" customFormat="false" ht="12.75" hidden="false" customHeight="false" outlineLevel="0" collapsed="false">
      <c r="A78" s="45" t="s">
        <v>19</v>
      </c>
      <c r="B78" s="42"/>
      <c r="C78" s="44" t="n">
        <v>8728.07</v>
      </c>
      <c r="D78" s="44" t="n">
        <v>9590.82</v>
      </c>
      <c r="E78" s="44" t="n">
        <v>10148.48</v>
      </c>
      <c r="F78" s="44" t="n">
        <v>10398</v>
      </c>
      <c r="G78" s="44" t="n">
        <v>10398.19</v>
      </c>
      <c r="H78" s="44" t="n">
        <v>10449</v>
      </c>
      <c r="I78" s="44" t="n">
        <v>10449.38</v>
      </c>
      <c r="J78" s="44" t="n">
        <v>10449.38</v>
      </c>
      <c r="K78" s="44" t="n">
        <v>10449.38</v>
      </c>
      <c r="L78" s="44" t="n">
        <v>10501.6</v>
      </c>
      <c r="M78" s="44" t="n">
        <v>10723.9</v>
      </c>
      <c r="N78" s="44" t="n">
        <v>11308.69</v>
      </c>
      <c r="O78" s="44" t="n">
        <v>12158.34</v>
      </c>
      <c r="P78" s="42"/>
      <c r="Q78" s="44" t="n">
        <f aca="false">SUM(O78-C78)</f>
        <v>3430.27</v>
      </c>
      <c r="R78" s="42"/>
      <c r="S78" s="42"/>
    </row>
    <row r="82" customFormat="false" ht="15" hidden="false" customHeight="false" outlineLevel="0" collapsed="false">
      <c r="A82" s="46" t="n">
        <v>2021</v>
      </c>
      <c r="B82" s="47" t="s">
        <v>1</v>
      </c>
      <c r="C82" s="48" t="s">
        <v>2</v>
      </c>
      <c r="D82" s="48" t="s">
        <v>3</v>
      </c>
      <c r="E82" s="48" t="s">
        <v>4</v>
      </c>
      <c r="F82" s="48" t="s">
        <v>5</v>
      </c>
      <c r="G82" s="48" t="s">
        <v>6</v>
      </c>
      <c r="H82" s="48" t="s">
        <v>7</v>
      </c>
      <c r="I82" s="48" t="s">
        <v>8</v>
      </c>
      <c r="J82" s="48" t="s">
        <v>9</v>
      </c>
      <c r="K82" s="48" t="s">
        <v>10</v>
      </c>
      <c r="L82" s="48" t="s">
        <v>11</v>
      </c>
      <c r="M82" s="48" t="s">
        <v>12</v>
      </c>
      <c r="N82" s="48" t="s">
        <v>13</v>
      </c>
      <c r="O82" s="49"/>
      <c r="P82" s="49"/>
      <c r="Q82" s="49"/>
      <c r="R82" s="49"/>
      <c r="S82" s="49"/>
    </row>
    <row r="83" customFormat="false" ht="12.75" hidden="false" customHeight="false" outlineLevel="0" collapsed="false">
      <c r="A83" s="49"/>
      <c r="B83" s="49"/>
      <c r="C83" s="50" t="n">
        <v>44196</v>
      </c>
      <c r="D83" s="50" t="n">
        <v>44228</v>
      </c>
      <c r="E83" s="50" t="n">
        <v>44259</v>
      </c>
      <c r="F83" s="50" t="n">
        <v>44293</v>
      </c>
      <c r="G83" s="50" t="n">
        <v>44319</v>
      </c>
      <c r="H83" s="50" t="n">
        <v>44348</v>
      </c>
      <c r="I83" s="50" t="n">
        <v>44382</v>
      </c>
      <c r="J83" s="50" t="n">
        <v>44411</v>
      </c>
      <c r="K83" s="50" t="n">
        <v>44440</v>
      </c>
      <c r="L83" s="50" t="n">
        <v>44470</v>
      </c>
      <c r="M83" s="50" t="n">
        <v>44503</v>
      </c>
      <c r="N83" s="50" t="n">
        <v>44531</v>
      </c>
      <c r="O83" s="50" t="n">
        <v>44561</v>
      </c>
      <c r="P83" s="49"/>
      <c r="Q83" s="51" t="n">
        <f aca="false">SUM(O83-C83)</f>
        <v>365</v>
      </c>
      <c r="R83" s="49"/>
      <c r="S83" s="49"/>
    </row>
    <row r="84" customFormat="false" ht="12.75" hidden="false" customHeight="false" outlineLevel="0" collapsed="false">
      <c r="A84" s="49" t="s">
        <v>14</v>
      </c>
      <c r="B84" s="49"/>
      <c r="C84" s="51" t="n">
        <v>3084107.5</v>
      </c>
      <c r="D84" s="51" t="n">
        <v>3096114.8</v>
      </c>
      <c r="E84" s="51" t="n">
        <v>3108798</v>
      </c>
      <c r="F84" s="51" t="n">
        <v>3121030</v>
      </c>
      <c r="G84" s="51" t="n">
        <v>3128276.9</v>
      </c>
      <c r="H84" s="51" t="n">
        <v>3136007.4</v>
      </c>
      <c r="I84" s="51" t="n">
        <v>3139629.3</v>
      </c>
      <c r="J84" s="51" t="n">
        <v>3142383.8</v>
      </c>
      <c r="K84" s="51" t="n">
        <v>3146704.9</v>
      </c>
      <c r="L84" s="51" t="n">
        <v>3152037.1</v>
      </c>
      <c r="M84" s="51" t="n">
        <v>3161473.4</v>
      </c>
      <c r="N84" s="51" t="n">
        <v>3176076.5</v>
      </c>
      <c r="O84" s="51" t="n">
        <v>3185650.5</v>
      </c>
      <c r="P84" s="49"/>
      <c r="Q84" s="49"/>
      <c r="R84" s="51" t="n">
        <f aca="false">SUM(O84-C84)</f>
        <v>101543</v>
      </c>
      <c r="S84" s="49"/>
    </row>
    <row r="85" customFormat="false" ht="12.75" hidden="false" customHeight="false" outlineLevel="0" collapsed="false">
      <c r="A85" s="49" t="s">
        <v>15</v>
      </c>
      <c r="B85" s="49"/>
      <c r="C85" s="51" t="n">
        <v>10122.35</v>
      </c>
      <c r="D85" s="51" t="n">
        <v>10123.06</v>
      </c>
      <c r="E85" s="51" t="n">
        <v>10134.15</v>
      </c>
      <c r="F85" s="51" t="n">
        <v>10161.32</v>
      </c>
      <c r="G85" s="51" t="n">
        <v>10184.29</v>
      </c>
      <c r="H85" s="51" t="n">
        <v>10209.91</v>
      </c>
      <c r="I85" s="51" t="n">
        <v>10260.07</v>
      </c>
      <c r="J85" s="51" t="n">
        <v>10302.14</v>
      </c>
      <c r="K85" s="51" t="n">
        <v>10302.14</v>
      </c>
      <c r="L85" s="51" t="n">
        <v>10340.62</v>
      </c>
      <c r="M85" s="51" t="n">
        <v>10395.7</v>
      </c>
      <c r="N85" s="51" t="n">
        <v>10446.8</v>
      </c>
      <c r="O85" s="51" t="n">
        <v>10482.99</v>
      </c>
      <c r="P85" s="49"/>
      <c r="Q85" s="51" t="n">
        <f aca="false">SUM(O85-C85)</f>
        <v>360.639999999999</v>
      </c>
      <c r="R85" s="49"/>
      <c r="S85" s="49"/>
    </row>
    <row r="86" customFormat="false" ht="12.75" hidden="false" customHeight="false" outlineLevel="0" collapsed="false">
      <c r="A86" s="52" t="s">
        <v>20</v>
      </c>
      <c r="B86" s="49"/>
      <c r="C86" s="51" t="n">
        <v>12158.34</v>
      </c>
      <c r="D86" s="51" t="n">
        <v>12801.2</v>
      </c>
      <c r="E86" s="51" t="n">
        <v>13370.3</v>
      </c>
      <c r="F86" s="51" t="n">
        <v>13882.62</v>
      </c>
      <c r="G86" s="51" t="n">
        <v>14155.52</v>
      </c>
      <c r="H86" s="51" t="n">
        <v>14292.33</v>
      </c>
      <c r="I86" s="51" t="n">
        <v>14293.04</v>
      </c>
      <c r="J86" s="51" t="n">
        <v>14293.04</v>
      </c>
      <c r="K86" s="51" t="n">
        <v>14293.04</v>
      </c>
      <c r="L86" s="51" t="n">
        <v>14341.52</v>
      </c>
      <c r="M86" s="51" t="n">
        <v>14608.6</v>
      </c>
      <c r="N86" s="51" t="n">
        <v>15245.92</v>
      </c>
      <c r="O86" s="51" t="n">
        <v>15768.6</v>
      </c>
      <c r="P86" s="49"/>
      <c r="Q86" s="51" t="n">
        <f aca="false">SUM(O86-C86)</f>
        <v>3610.26</v>
      </c>
      <c r="R86" s="49"/>
      <c r="S86" s="49"/>
    </row>
    <row r="89" customFormat="false" ht="15" hidden="false" customHeight="false" outlineLevel="0" collapsed="false">
      <c r="A89" s="46" t="n">
        <v>2022</v>
      </c>
      <c r="B89" s="47" t="s">
        <v>1</v>
      </c>
      <c r="C89" s="48" t="s">
        <v>2</v>
      </c>
      <c r="D89" s="48" t="s">
        <v>3</v>
      </c>
      <c r="E89" s="48" t="s">
        <v>4</v>
      </c>
      <c r="F89" s="48" t="s">
        <v>5</v>
      </c>
      <c r="G89" s="48" t="s">
        <v>6</v>
      </c>
      <c r="H89" s="48" t="s">
        <v>7</v>
      </c>
      <c r="I89" s="48" t="s">
        <v>8</v>
      </c>
      <c r="J89" s="48" t="s">
        <v>9</v>
      </c>
      <c r="K89" s="48" t="s">
        <v>10</v>
      </c>
      <c r="L89" s="48" t="s">
        <v>11</v>
      </c>
      <c r="M89" s="48" t="s">
        <v>12</v>
      </c>
      <c r="N89" s="48" t="s">
        <v>13</v>
      </c>
      <c r="O89" s="49"/>
      <c r="P89" s="49"/>
      <c r="Q89" s="49"/>
      <c r="R89" s="49"/>
      <c r="S89" s="49"/>
    </row>
    <row r="90" customFormat="false" ht="12.75" hidden="false" customHeight="false" outlineLevel="0" collapsed="false">
      <c r="A90" s="49"/>
      <c r="B90" s="49"/>
      <c r="C90" s="50" t="n">
        <v>44573</v>
      </c>
      <c r="D90" s="50" t="n">
        <v>44228</v>
      </c>
      <c r="E90" s="50" t="n">
        <v>44621</v>
      </c>
      <c r="F90" s="50" t="n">
        <v>44652</v>
      </c>
      <c r="G90" s="50" t="n">
        <v>44683</v>
      </c>
      <c r="H90" s="50" t="n">
        <v>44713</v>
      </c>
      <c r="I90" s="50" t="n">
        <v>44743</v>
      </c>
      <c r="J90" s="50" t="n">
        <v>44774</v>
      </c>
      <c r="K90" s="50" t="n">
        <v>44805</v>
      </c>
      <c r="L90" s="50" t="n">
        <v>44839</v>
      </c>
      <c r="M90" s="50" t="n">
        <v>44867</v>
      </c>
      <c r="N90" s="50" t="n">
        <v>44896</v>
      </c>
      <c r="O90" s="50" t="n">
        <v>44926</v>
      </c>
      <c r="P90" s="49"/>
      <c r="Q90" s="51" t="n">
        <f aca="false">SUM(O91-C91)</f>
        <v>78482</v>
      </c>
      <c r="R90" s="49"/>
      <c r="S90" s="49"/>
    </row>
    <row r="91" customFormat="false" ht="12.75" hidden="false" customHeight="false" outlineLevel="0" collapsed="false">
      <c r="A91" s="49" t="s">
        <v>14</v>
      </c>
      <c r="B91" s="49"/>
      <c r="C91" s="51" t="n">
        <v>3193989</v>
      </c>
      <c r="D91" s="51" t="n">
        <v>3204464.9</v>
      </c>
      <c r="E91" s="51" t="n">
        <v>3214602.5</v>
      </c>
      <c r="F91" s="51" t="n">
        <v>3226614.5</v>
      </c>
      <c r="G91" s="51" t="n">
        <v>3233285</v>
      </c>
      <c r="H91" s="51" t="n">
        <v>3237251.5</v>
      </c>
      <c r="I91" s="51" t="n">
        <v>3240201.8</v>
      </c>
      <c r="J91" s="51" t="n">
        <v>3242727.3</v>
      </c>
      <c r="K91" s="51" t="n">
        <v>3245194.7</v>
      </c>
      <c r="L91" s="51" t="n">
        <v>3250585</v>
      </c>
      <c r="M91" s="51" t="n">
        <v>3254752</v>
      </c>
      <c r="N91" s="51" t="n">
        <v>3263522</v>
      </c>
      <c r="O91" s="51" t="n">
        <v>3272471</v>
      </c>
      <c r="P91" s="49"/>
      <c r="Q91" s="49"/>
      <c r="R91" s="51" t="n">
        <f aca="false">SUM(O91-C91)</f>
        <v>78482</v>
      </c>
      <c r="S91" s="49"/>
    </row>
    <row r="92" customFormat="false" ht="12.75" hidden="false" customHeight="false" outlineLevel="0" collapsed="false">
      <c r="A92" s="49" t="s">
        <v>15</v>
      </c>
      <c r="B92" s="49"/>
      <c r="C92" s="51" t="n">
        <v>10491</v>
      </c>
      <c r="D92" s="51" t="n">
        <v>10524.9</v>
      </c>
      <c r="E92" s="51" t="n">
        <v>10561.92</v>
      </c>
      <c r="F92" s="51" t="n">
        <v>10616.62</v>
      </c>
      <c r="G92" s="51" t="n">
        <v>10645</v>
      </c>
      <c r="H92" s="51" t="n">
        <v>10697</v>
      </c>
      <c r="I92" s="51" t="n">
        <v>10734</v>
      </c>
      <c r="J92" s="51" t="n">
        <v>10762.2</v>
      </c>
      <c r="K92" s="51" t="n">
        <v>10777.87</v>
      </c>
      <c r="L92" s="51" t="n">
        <v>10817</v>
      </c>
      <c r="M92" s="51" t="n">
        <v>10866</v>
      </c>
      <c r="N92" s="51" t="n">
        <v>10910</v>
      </c>
      <c r="O92" s="51" t="n">
        <v>10948</v>
      </c>
      <c r="P92" s="49"/>
      <c r="Q92" s="51" t="n">
        <f aca="false">SUM(O92-C92)</f>
        <v>457</v>
      </c>
      <c r="R92" s="49"/>
      <c r="S92" s="49"/>
    </row>
    <row r="93" customFormat="false" ht="12.75" hidden="false" customHeight="false" outlineLevel="0" collapsed="false">
      <c r="A93" s="52" t="s">
        <v>20</v>
      </c>
      <c r="B93" s="49"/>
      <c r="C93" s="51" t="n">
        <v>16155</v>
      </c>
      <c r="D93" s="51" t="n">
        <v>16783.92</v>
      </c>
      <c r="E93" s="51" t="n">
        <v>17241.3</v>
      </c>
      <c r="F93" s="51" t="n">
        <v>17821.8</v>
      </c>
      <c r="G93" s="51" t="n">
        <v>18034</v>
      </c>
      <c r="H93" s="51" t="n">
        <v>18061</v>
      </c>
      <c r="I93" s="51" t="n">
        <v>18061.1</v>
      </c>
      <c r="J93" s="51" t="n">
        <v>18061.13</v>
      </c>
      <c r="K93" s="51" t="n">
        <v>18061.14</v>
      </c>
      <c r="L93" s="51" t="n">
        <v>18133</v>
      </c>
      <c r="M93" s="51" t="n">
        <v>18225</v>
      </c>
      <c r="N93" s="51" t="n">
        <v>18580</v>
      </c>
      <c r="O93" s="51" t="n">
        <v>19214</v>
      </c>
      <c r="P93" s="49"/>
      <c r="Q93" s="51" t="n">
        <f aca="false">SUM(O93-C93)</f>
        <v>3059</v>
      </c>
      <c r="R93" s="49"/>
      <c r="S93" s="49"/>
    </row>
    <row r="96" customFormat="false" ht="15" hidden="false" customHeight="false" outlineLevel="0" collapsed="false">
      <c r="A96" s="16" t="n">
        <v>2023</v>
      </c>
      <c r="B96" s="17" t="s">
        <v>1</v>
      </c>
      <c r="C96" s="18" t="s">
        <v>2</v>
      </c>
      <c r="D96" s="18" t="s">
        <v>3</v>
      </c>
      <c r="E96" s="18" t="s">
        <v>4</v>
      </c>
      <c r="F96" s="18" t="s">
        <v>5</v>
      </c>
      <c r="G96" s="18" t="s">
        <v>6</v>
      </c>
      <c r="H96" s="18" t="s">
        <v>7</v>
      </c>
      <c r="I96" s="18" t="s">
        <v>8</v>
      </c>
      <c r="J96" s="18" t="s">
        <v>9</v>
      </c>
      <c r="K96" s="18" t="s">
        <v>10</v>
      </c>
      <c r="L96" s="18" t="s">
        <v>11</v>
      </c>
      <c r="M96" s="18" t="s">
        <v>12</v>
      </c>
      <c r="N96" s="18" t="s">
        <v>13</v>
      </c>
      <c r="O96" s="19"/>
      <c r="P96" s="19"/>
      <c r="Q96" s="19"/>
      <c r="R96" s="19"/>
      <c r="S96" s="19"/>
    </row>
    <row r="97" customFormat="false" ht="12.75" hidden="false" customHeight="false" outlineLevel="0" collapsed="false">
      <c r="A97" s="19"/>
      <c r="B97" s="19"/>
      <c r="C97" s="20" t="n">
        <v>44938</v>
      </c>
      <c r="D97" s="20" t="n">
        <v>44958</v>
      </c>
      <c r="E97" s="20" t="n">
        <v>44986</v>
      </c>
      <c r="F97" s="20" t="n">
        <v>45017</v>
      </c>
      <c r="G97" s="20" t="n">
        <v>45048</v>
      </c>
      <c r="H97" s="20" t="n">
        <v>45078</v>
      </c>
      <c r="I97" s="20" t="n">
        <v>45108</v>
      </c>
      <c r="J97" s="20" t="n">
        <v>45139</v>
      </c>
      <c r="K97" s="20" t="n">
        <v>45170</v>
      </c>
      <c r="L97" s="20" t="n">
        <v>45204</v>
      </c>
      <c r="M97" s="20" t="n">
        <v>45232</v>
      </c>
      <c r="N97" s="20" t="n">
        <v>45264</v>
      </c>
      <c r="O97" s="20" t="n">
        <v>45291</v>
      </c>
      <c r="P97" s="19"/>
      <c r="Q97" s="21" t="n">
        <f aca="false">SUM(O98-C98)</f>
        <v>81733</v>
      </c>
      <c r="R97" s="19"/>
      <c r="S97" s="19"/>
    </row>
    <row r="98" customFormat="false" ht="12.75" hidden="false" customHeight="false" outlineLevel="0" collapsed="false">
      <c r="A98" s="19" t="s">
        <v>14</v>
      </c>
      <c r="B98" s="19"/>
      <c r="C98" s="21" t="n">
        <v>3272471</v>
      </c>
      <c r="D98" s="21" t="n">
        <v>3286722</v>
      </c>
      <c r="E98" s="21" t="n">
        <v>3297713</v>
      </c>
      <c r="F98" s="21" t="n">
        <v>3306566</v>
      </c>
      <c r="G98" s="21" t="n">
        <v>3312098</v>
      </c>
      <c r="H98" s="21" t="n">
        <v>3315461</v>
      </c>
      <c r="I98" s="21" t="n">
        <v>3318033</v>
      </c>
      <c r="J98" s="21" t="n">
        <v>3319968</v>
      </c>
      <c r="K98" s="21" t="n">
        <v>3322264</v>
      </c>
      <c r="L98" s="21" t="n">
        <v>3325138</v>
      </c>
      <c r="M98" s="21" t="n">
        <v>3331462</v>
      </c>
      <c r="N98" s="21" t="n">
        <v>3340730</v>
      </c>
      <c r="O98" s="21" t="n">
        <v>3354204</v>
      </c>
      <c r="P98" s="19"/>
      <c r="Q98" s="19"/>
      <c r="R98" s="21" t="n">
        <f aca="false">SUM(O98-C98)</f>
        <v>81733</v>
      </c>
      <c r="S98" s="19"/>
    </row>
    <row r="99" customFormat="false" ht="12.75" hidden="false" customHeight="false" outlineLevel="0" collapsed="false">
      <c r="A99" s="19" t="s">
        <v>15</v>
      </c>
      <c r="B99" s="19"/>
      <c r="C99" s="21" t="n">
        <v>10948</v>
      </c>
      <c r="D99" s="21" t="n">
        <v>10998</v>
      </c>
      <c r="E99" s="21" t="n">
        <v>11030</v>
      </c>
      <c r="F99" s="21" t="n">
        <v>11066</v>
      </c>
      <c r="G99" s="21" t="n">
        <v>11087</v>
      </c>
      <c r="H99" s="21" t="n">
        <v>11112.47</v>
      </c>
      <c r="I99" s="21" t="n">
        <v>11134.3</v>
      </c>
      <c r="J99" s="21" t="n">
        <v>11152</v>
      </c>
      <c r="K99" s="21" t="n">
        <v>11152</v>
      </c>
      <c r="L99" s="21" t="n">
        <v>11153</v>
      </c>
      <c r="M99" s="21" t="n">
        <v>11153</v>
      </c>
      <c r="N99" s="21" t="n">
        <v>11153</v>
      </c>
      <c r="O99" s="21" t="n">
        <v>11154.4</v>
      </c>
      <c r="P99" s="19"/>
      <c r="Q99" s="21" t="n">
        <f aca="false">SUM(O99-C99)</f>
        <v>206.4</v>
      </c>
      <c r="R99" s="19"/>
      <c r="S99" s="19"/>
    </row>
    <row r="100" customFormat="false" ht="12.75" hidden="false" customHeight="false" outlineLevel="0" collapsed="false">
      <c r="A100" s="22" t="s">
        <v>20</v>
      </c>
      <c r="B100" s="19"/>
      <c r="C100" s="21" t="n">
        <v>19214</v>
      </c>
      <c r="D100" s="21" t="n">
        <v>20045</v>
      </c>
      <c r="E100" s="21" t="n">
        <v>20710</v>
      </c>
      <c r="F100" s="21" t="n">
        <v>21096</v>
      </c>
      <c r="G100" s="21" t="n">
        <v>21349</v>
      </c>
      <c r="H100" s="21" t="n">
        <v>21410</v>
      </c>
      <c r="I100" s="21" t="n">
        <v>21410</v>
      </c>
      <c r="J100" s="21" t="n">
        <v>21411</v>
      </c>
      <c r="K100" s="21" t="n">
        <v>21411</v>
      </c>
      <c r="L100" s="21" t="n">
        <v>21437</v>
      </c>
      <c r="M100" s="21" t="n">
        <v>21635</v>
      </c>
      <c r="N100" s="21" t="n">
        <v>22188</v>
      </c>
      <c r="O100" s="21" t="n">
        <v>22848.8</v>
      </c>
      <c r="P100" s="19"/>
      <c r="Q100" s="21" t="n">
        <f aca="false">SUM(O100-C100)</f>
        <v>3634.8</v>
      </c>
      <c r="R100" s="19"/>
      <c r="S100" s="19"/>
    </row>
    <row r="103" customFormat="false" ht="15" hidden="false" customHeight="false" outlineLevel="0" collapsed="false">
      <c r="A103" s="46" t="n">
        <v>2024</v>
      </c>
      <c r="B103" s="47" t="s">
        <v>1</v>
      </c>
      <c r="C103" s="48" t="s">
        <v>2</v>
      </c>
      <c r="D103" s="48" t="s">
        <v>3</v>
      </c>
      <c r="E103" s="48" t="s">
        <v>4</v>
      </c>
      <c r="F103" s="48" t="s">
        <v>5</v>
      </c>
      <c r="G103" s="48" t="s">
        <v>6</v>
      </c>
      <c r="H103" s="48" t="s">
        <v>7</v>
      </c>
      <c r="I103" s="48" t="s">
        <v>8</v>
      </c>
      <c r="J103" s="48" t="s">
        <v>9</v>
      </c>
      <c r="K103" s="48" t="s">
        <v>10</v>
      </c>
      <c r="L103" s="48" t="s">
        <v>11</v>
      </c>
      <c r="M103" s="48" t="s">
        <v>12</v>
      </c>
      <c r="N103" s="48" t="s">
        <v>13</v>
      </c>
      <c r="O103" s="49"/>
      <c r="P103" s="49"/>
      <c r="Q103" s="49"/>
      <c r="R103" s="49"/>
      <c r="S103" s="49"/>
    </row>
    <row r="104" customFormat="false" ht="12.75" hidden="false" customHeight="false" outlineLevel="0" collapsed="false">
      <c r="A104" s="49"/>
      <c r="B104" s="49"/>
      <c r="C104" s="50" t="n">
        <v>45303</v>
      </c>
      <c r="D104" s="50" t="n">
        <v>45323</v>
      </c>
      <c r="E104" s="50" t="n">
        <v>45352</v>
      </c>
      <c r="F104" s="50" t="n">
        <v>45384</v>
      </c>
      <c r="G104" s="50" t="n">
        <v>45414</v>
      </c>
      <c r="H104" s="50" t="n">
        <v>45446</v>
      </c>
      <c r="I104" s="50" t="n">
        <v>45474</v>
      </c>
      <c r="J104" s="50" t="n">
        <v>45505</v>
      </c>
      <c r="K104" s="50" t="n">
        <v>45537</v>
      </c>
      <c r="L104" s="50" t="n">
        <v>45566</v>
      </c>
      <c r="M104" s="50" t="n">
        <v>45600</v>
      </c>
      <c r="N104" s="50" t="n">
        <v>45630</v>
      </c>
      <c r="O104" s="50" t="n">
        <v>45657</v>
      </c>
      <c r="P104" s="49"/>
      <c r="Q104" s="51" t="n">
        <f aca="false">SUM(O104-C104)</f>
        <v>354</v>
      </c>
      <c r="R104" s="49"/>
      <c r="S104" s="49"/>
    </row>
    <row r="105" customFormat="false" ht="12.75" hidden="false" customHeight="false" outlineLevel="0" collapsed="false">
      <c r="A105" s="49" t="s">
        <v>14</v>
      </c>
      <c r="B105" s="49"/>
      <c r="C105" s="51" t="n">
        <v>3354204</v>
      </c>
      <c r="D105" s="51" t="n">
        <v>3365376.8</v>
      </c>
      <c r="E105" s="51" t="n">
        <v>3374498.5</v>
      </c>
      <c r="F105" s="51" t="n">
        <v>3383327</v>
      </c>
      <c r="G105" s="51" t="n">
        <v>3389468.9</v>
      </c>
      <c r="H105" s="51" t="n">
        <v>3392576.7</v>
      </c>
      <c r="I105" s="51" t="n">
        <v>3394843</v>
      </c>
      <c r="J105" s="51" t="n">
        <v>3397023</v>
      </c>
      <c r="K105" s="51" t="n">
        <v>3399123.4</v>
      </c>
      <c r="L105" s="51" t="n">
        <v>3402301</v>
      </c>
      <c r="M105" s="51" t="n">
        <v>3408010.2</v>
      </c>
      <c r="N105" s="51" t="n">
        <v>3417621.9</v>
      </c>
      <c r="O105" s="51" t="n">
        <v>3424623.6</v>
      </c>
      <c r="P105" s="49"/>
      <c r="Q105" s="49"/>
      <c r="R105" s="51" t="n">
        <f aca="false">SUM(O105-C105)</f>
        <v>70419.6000000001</v>
      </c>
      <c r="S105" s="49"/>
    </row>
    <row r="106" customFormat="false" ht="12.75" hidden="false" customHeight="false" outlineLevel="0" collapsed="false">
      <c r="A106" s="49" t="s">
        <v>15</v>
      </c>
      <c r="B106" s="49"/>
      <c r="C106" s="51" t="n">
        <v>11154.4</v>
      </c>
      <c r="D106" s="51" t="n">
        <v>11155.43</v>
      </c>
      <c r="E106" s="51" t="n">
        <v>11155.99</v>
      </c>
      <c r="F106" s="51" t="n">
        <v>11156</v>
      </c>
      <c r="G106" s="51" t="n">
        <v>11156.88</v>
      </c>
      <c r="H106" s="51" t="n">
        <v>11157</v>
      </c>
      <c r="I106" s="51" t="n">
        <v>11157.22</v>
      </c>
      <c r="J106" s="51" t="n">
        <v>11157.47</v>
      </c>
      <c r="K106" s="51" t="n">
        <v>11157.47</v>
      </c>
      <c r="L106" s="51" t="n">
        <v>11158.32</v>
      </c>
      <c r="M106" s="51" t="n">
        <v>11158.71</v>
      </c>
      <c r="N106" s="51" t="n">
        <v>11159.41</v>
      </c>
      <c r="O106" s="51" t="n">
        <v>11160.67</v>
      </c>
      <c r="P106" s="49"/>
      <c r="Q106" s="51" t="n">
        <f aca="false">SUM(O106-C106)</f>
        <v>6.27000000000044</v>
      </c>
      <c r="R106" s="49"/>
      <c r="S106" s="49"/>
    </row>
    <row r="107" customFormat="false" ht="12.75" hidden="false" customHeight="false" outlineLevel="0" collapsed="false">
      <c r="A107" s="52" t="s">
        <v>20</v>
      </c>
      <c r="B107" s="49"/>
      <c r="C107" s="51" t="n">
        <v>22848.8</v>
      </c>
      <c r="D107" s="51" t="n">
        <v>23575</v>
      </c>
      <c r="E107" s="51" t="n">
        <v>23958.19</v>
      </c>
      <c r="F107" s="51" t="n">
        <v>24312</v>
      </c>
      <c r="G107" s="51" t="n">
        <v>24553.86</v>
      </c>
      <c r="H107" s="51" t="n">
        <v>24574</v>
      </c>
      <c r="I107" s="51" t="n">
        <v>24581.33</v>
      </c>
      <c r="J107" s="51" t="n">
        <v>24583.15</v>
      </c>
      <c r="K107" s="51" t="n">
        <v>24586.47</v>
      </c>
      <c r="L107" s="51" t="n">
        <v>24630</v>
      </c>
      <c r="M107" s="51" t="n">
        <v>24801.78</v>
      </c>
      <c r="N107" s="51" t="n">
        <v>25377.95</v>
      </c>
      <c r="O107" s="51" t="n">
        <v>25832.07</v>
      </c>
      <c r="P107" s="49"/>
      <c r="Q107" s="51" t="n">
        <f aca="false">SUM(O107-C107)</f>
        <v>2983.27</v>
      </c>
      <c r="R107" s="49"/>
      <c r="S107" s="49"/>
    </row>
    <row r="110" customFormat="false" ht="15" hidden="false" customHeight="false" outlineLevel="0" collapsed="false">
      <c r="A110" s="39" t="n">
        <v>2025</v>
      </c>
      <c r="B110" s="40" t="s">
        <v>1</v>
      </c>
      <c r="C110" s="41" t="s">
        <v>2</v>
      </c>
      <c r="D110" s="41" t="s">
        <v>3</v>
      </c>
      <c r="E110" s="41" t="s">
        <v>4</v>
      </c>
      <c r="F110" s="41" t="s">
        <v>5</v>
      </c>
      <c r="G110" s="41" t="s">
        <v>6</v>
      </c>
      <c r="H110" s="41" t="s">
        <v>7</v>
      </c>
      <c r="I110" s="41" t="s">
        <v>8</v>
      </c>
      <c r="J110" s="41" t="s">
        <v>9</v>
      </c>
      <c r="K110" s="41" t="s">
        <v>10</v>
      </c>
      <c r="L110" s="41" t="s">
        <v>11</v>
      </c>
      <c r="M110" s="41" t="s">
        <v>12</v>
      </c>
      <c r="N110" s="41" t="s">
        <v>13</v>
      </c>
      <c r="O110" s="42"/>
      <c r="P110" s="42"/>
      <c r="Q110" s="42"/>
      <c r="R110" s="42"/>
      <c r="S110" s="42"/>
    </row>
    <row r="111" customFormat="false" ht="12.75" hidden="false" customHeight="false" outlineLevel="0" collapsed="false">
      <c r="A111" s="42"/>
      <c r="B111" s="42"/>
      <c r="C111" s="43" t="n">
        <v>45669</v>
      </c>
      <c r="D111" s="43" t="n">
        <v>45689</v>
      </c>
      <c r="E111" s="43" t="n">
        <v>45717</v>
      </c>
      <c r="F111" s="43" t="n">
        <v>45748</v>
      </c>
      <c r="G111" s="43" t="n">
        <v>45782</v>
      </c>
      <c r="H111" s="43" t="n">
        <v>45810</v>
      </c>
      <c r="I111" s="43" t="n">
        <v>45839</v>
      </c>
      <c r="J111" s="43" t="n">
        <v>45870</v>
      </c>
      <c r="K111" s="43" t="n">
        <v>45902</v>
      </c>
      <c r="L111" s="43" t="n">
        <v>45931</v>
      </c>
      <c r="M111" s="43" t="n">
        <v>45964</v>
      </c>
      <c r="N111" s="43" t="n">
        <v>45992</v>
      </c>
      <c r="O111" s="43" t="n">
        <v>46022</v>
      </c>
      <c r="P111" s="42"/>
      <c r="Q111" s="44" t="n">
        <f aca="false">SUM(O111-C111)</f>
        <v>353</v>
      </c>
      <c r="R111" s="42"/>
      <c r="S111" s="42"/>
    </row>
    <row r="112" customFormat="false" ht="12.75" hidden="false" customHeight="false" outlineLevel="0" collapsed="false">
      <c r="A112" s="42" t="s">
        <v>14</v>
      </c>
      <c r="B112" s="42"/>
      <c r="C112" s="44" t="n">
        <v>3424623.6</v>
      </c>
      <c r="D112" s="44" t="n">
        <v>3443199.8</v>
      </c>
      <c r="E112" s="44" t="n">
        <v>3454401.4</v>
      </c>
      <c r="F112" s="44" t="n">
        <v>3464664.8</v>
      </c>
      <c r="G112" s="44" t="n">
        <v>3470745</v>
      </c>
      <c r="H112" s="44" t="n">
        <v>3474616.2</v>
      </c>
      <c r="I112" s="44" t="n">
        <v>3476652.2</v>
      </c>
      <c r="J112" s="44" t="n">
        <v>3479165.1</v>
      </c>
      <c r="K112" s="44" t="n">
        <v>3481783</v>
      </c>
      <c r="L112" s="44" t="n">
        <v>3485236</v>
      </c>
      <c r="M112" s="44" t="n">
        <v>3491642.9</v>
      </c>
      <c r="N112" s="44" t="n">
        <v>3500328.2</v>
      </c>
      <c r="O112" s="44" t="n">
        <v>3506981.8</v>
      </c>
      <c r="P112" s="42"/>
      <c r="Q112" s="42"/>
      <c r="R112" s="44" t="n">
        <f aca="false">SUM(O112-C112)</f>
        <v>82358.1999999997</v>
      </c>
      <c r="S112" s="42"/>
    </row>
    <row r="113" customFormat="false" ht="12.75" hidden="false" customHeight="false" outlineLevel="0" collapsed="false">
      <c r="A113" s="42" t="s">
        <v>15</v>
      </c>
      <c r="B113" s="42"/>
      <c r="C113" s="44" t="n">
        <v>11160.67</v>
      </c>
      <c r="D113" s="44" t="n">
        <v>11161.65</v>
      </c>
      <c r="E113" s="44" t="n">
        <v>11162.25</v>
      </c>
      <c r="F113" s="44" t="n">
        <v>11162.82</v>
      </c>
      <c r="G113" s="44" t="n">
        <v>11163.03</v>
      </c>
      <c r="H113" s="44" t="n">
        <v>11163.12</v>
      </c>
      <c r="I113" s="44" t="n">
        <v>11163.22</v>
      </c>
      <c r="J113" s="44" t="n">
        <v>11163.5</v>
      </c>
      <c r="K113" s="44" t="n">
        <v>11163.5</v>
      </c>
      <c r="L113" s="44" t="n">
        <v>11164.39</v>
      </c>
      <c r="M113" s="44" t="n">
        <v>11164.72</v>
      </c>
      <c r="N113" s="44" t="n">
        <v>11166.58</v>
      </c>
      <c r="O113" s="44" t="n">
        <v>11167.87</v>
      </c>
      <c r="P113" s="42"/>
      <c r="Q113" s="44" t="n">
        <f aca="false">SUM(O113-C113)</f>
        <v>7.20000000000073</v>
      </c>
      <c r="R113" s="42"/>
      <c r="S113" s="42"/>
    </row>
    <row r="114" customFormat="false" ht="12.75" hidden="false" customHeight="false" outlineLevel="0" collapsed="false">
      <c r="A114" s="45" t="s">
        <v>20</v>
      </c>
      <c r="B114" s="42"/>
      <c r="C114" s="44" t="n">
        <v>25832.07</v>
      </c>
      <c r="D114" s="44" t="n">
        <v>27137.67</v>
      </c>
      <c r="E114" s="44" t="n">
        <v>27865.41</v>
      </c>
      <c r="F114" s="44" t="n">
        <v>28374.32</v>
      </c>
      <c r="G114" s="44" t="n">
        <v>28596.46</v>
      </c>
      <c r="H114" s="44" t="n">
        <v>28665.73</v>
      </c>
      <c r="I114" s="44" t="n">
        <v>28665.73</v>
      </c>
      <c r="J114" s="44" t="n">
        <v>28665.73</v>
      </c>
      <c r="K114" s="44" t="n">
        <v>28665.73</v>
      </c>
      <c r="L114" s="44" t="n">
        <v>28665.73</v>
      </c>
      <c r="M114" s="44" t="n">
        <v>28672.07</v>
      </c>
      <c r="N114" s="44" t="n">
        <v>29267.85</v>
      </c>
      <c r="O114" s="44" t="n">
        <v>29663.92</v>
      </c>
      <c r="P114" s="42"/>
      <c r="Q114" s="44" t="n">
        <f aca="false">SUM(O114-C114)</f>
        <v>3831.85</v>
      </c>
      <c r="R114" s="42"/>
      <c r="S114" s="42"/>
    </row>
    <row r="117" customFormat="false" ht="15" hidden="false" customHeight="false" outlineLevel="0" collapsed="false">
      <c r="A117" s="16" t="n">
        <v>2026</v>
      </c>
      <c r="B117" s="17" t="s">
        <v>1</v>
      </c>
      <c r="C117" s="18" t="s">
        <v>2</v>
      </c>
      <c r="D117" s="18" t="s">
        <v>3</v>
      </c>
      <c r="E117" s="18" t="s">
        <v>4</v>
      </c>
      <c r="F117" s="18" t="s">
        <v>5</v>
      </c>
      <c r="G117" s="18" t="s">
        <v>6</v>
      </c>
      <c r="H117" s="18" t="s">
        <v>7</v>
      </c>
      <c r="I117" s="18" t="s">
        <v>8</v>
      </c>
      <c r="J117" s="18" t="s">
        <v>9</v>
      </c>
      <c r="K117" s="18" t="s">
        <v>10</v>
      </c>
      <c r="L117" s="18" t="s">
        <v>11</v>
      </c>
      <c r="M117" s="18" t="s">
        <v>12</v>
      </c>
      <c r="N117" s="18" t="s">
        <v>13</v>
      </c>
      <c r="O117" s="19"/>
      <c r="P117" s="19"/>
      <c r="Q117" s="19"/>
      <c r="R117" s="19"/>
      <c r="S117" s="19"/>
    </row>
    <row r="118" customFormat="false" ht="12.75" hidden="false" customHeight="false" outlineLevel="0" collapsed="false">
      <c r="A118" s="19"/>
      <c r="B118" s="19"/>
      <c r="C118" s="20" t="n">
        <v>45669</v>
      </c>
      <c r="D118" s="20" t="n">
        <v>46055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19"/>
      <c r="Q118" s="21" t="n">
        <f aca="false">SUM(O118-C118)</f>
        <v>-45669</v>
      </c>
      <c r="R118" s="19"/>
      <c r="S118" s="19"/>
    </row>
    <row r="119" customFormat="false" ht="12.75" hidden="false" customHeight="false" outlineLevel="0" collapsed="false">
      <c r="A119" s="19" t="s">
        <v>14</v>
      </c>
      <c r="B119" s="19"/>
      <c r="C119" s="21" t="n">
        <v>3506981.8</v>
      </c>
      <c r="D119" s="21" t="n">
        <v>3529964.5</v>
      </c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9"/>
      <c r="Q119" s="19"/>
      <c r="R119" s="21" t="n">
        <f aca="false">SUM(O119-C119)</f>
        <v>-3506981.8</v>
      </c>
      <c r="S119" s="19"/>
    </row>
    <row r="120" customFormat="false" ht="12.75" hidden="false" customHeight="false" outlineLevel="0" collapsed="false">
      <c r="A120" s="19" t="s">
        <v>15</v>
      </c>
      <c r="B120" s="19"/>
      <c r="C120" s="21" t="n">
        <v>11167.87</v>
      </c>
      <c r="D120" s="21" t="n">
        <v>11168.67</v>
      </c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19"/>
      <c r="Q120" s="21" t="n">
        <f aca="false">SUM(O120-C120)</f>
        <v>-11167.87</v>
      </c>
      <c r="R120" s="19"/>
      <c r="S120" s="19"/>
    </row>
    <row r="121" customFormat="false" ht="12.75" hidden="false" customHeight="false" outlineLevel="0" collapsed="false">
      <c r="A121" s="22" t="s">
        <v>20</v>
      </c>
      <c r="B121" s="19"/>
      <c r="C121" s="21" t="n">
        <v>29663.92</v>
      </c>
      <c r="D121" s="21" t="n">
        <v>31102.63</v>
      </c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9"/>
      <c r="Q121" s="21" t="n">
        <f aca="false">SUM(O121-C121)</f>
        <v>-29663.92</v>
      </c>
      <c r="R121" s="19"/>
      <c r="S121" s="19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99"/>
    <pageSetUpPr fitToPage="false"/>
  </sheetPr>
  <dimension ref="A1:P120"/>
  <sheetViews>
    <sheetView showFormulas="false" showGridLines="true" showRowColHeaders="true" showZeros="true" rightToLeft="false" tabSelected="false" showOutlineSymbols="true" defaultGridColor="true" view="normal" topLeftCell="A78" colorId="64" zoomScale="100" zoomScaleNormal="100" zoomScalePageLayoutView="100" workbookViewId="0">
      <selection pane="topLeft" activeCell="D118" activeCellId="1" sqref="L206:L207 D118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28.7"/>
    <col collapsed="false" customWidth="true" hidden="false" outlineLevel="0" max="2" min="2" style="1" width="5.85"/>
    <col collapsed="false" customWidth="true" hidden="false" outlineLevel="0" max="3" min="3" style="1" width="12.7"/>
    <col collapsed="false" customWidth="true" hidden="false" outlineLevel="0" max="4" min="4" style="1" width="12.42"/>
    <col collapsed="false" customWidth="true" hidden="false" outlineLevel="0" max="5" min="5" style="1" width="12.99"/>
    <col collapsed="false" customWidth="true" hidden="false" outlineLevel="0" max="6" min="6" style="1" width="12.15"/>
    <col collapsed="false" customWidth="true" hidden="false" outlineLevel="0" max="7" min="7" style="1" width="11.99"/>
    <col collapsed="false" customWidth="true" hidden="false" outlineLevel="0" max="8" min="8" style="1" width="14.41"/>
    <col collapsed="false" customWidth="true" hidden="false" outlineLevel="0" max="9" min="9" style="1" width="12.7"/>
    <col collapsed="false" customWidth="true" hidden="false" outlineLevel="0" max="10" min="10" style="1" width="12.56"/>
    <col collapsed="false" customWidth="true" hidden="false" outlineLevel="0" max="11" min="11" style="1" width="12.42"/>
    <col collapsed="false" customWidth="true" hidden="false" outlineLevel="0" max="12" min="12" style="1" width="13.7"/>
    <col collapsed="false" customWidth="true" hidden="false" outlineLevel="0" max="13" min="13" style="1" width="12.7"/>
    <col collapsed="false" customWidth="true" hidden="false" outlineLevel="0" max="14" min="14" style="1" width="12.28"/>
    <col collapsed="false" customWidth="true" hidden="false" outlineLevel="0" max="16" min="16" style="1" width="12.28"/>
  </cols>
  <sheetData>
    <row r="1" customFormat="false" ht="15" hidden="false" customHeight="false" outlineLevel="0" collapsed="false">
      <c r="A1" s="2" t="s">
        <v>21</v>
      </c>
    </row>
    <row r="4" customFormat="false" ht="15" hidden="false" customHeight="false" outlineLevel="0" collapsed="false">
      <c r="A4" s="2" t="n">
        <f aca="false">'Ablesewerte Gas'!A4</f>
        <v>2012</v>
      </c>
      <c r="B4" s="53" t="str">
        <f aca="false">'Ablesewerte Gas'!B4</f>
        <v>m³</v>
      </c>
      <c r="C4" s="53" t="str">
        <f aca="false">'Ablesewerte Gas'!C4</f>
        <v>Jan</v>
      </c>
      <c r="D4" s="53" t="str">
        <f aca="false">'Ablesewerte Gas'!D4</f>
        <v>Feb</v>
      </c>
      <c r="E4" s="53" t="str">
        <f aca="false">'Ablesewerte Gas'!E4</f>
        <v>Mrz</v>
      </c>
      <c r="F4" s="53" t="str">
        <f aca="false">'Ablesewerte Gas'!F4</f>
        <v>Apr</v>
      </c>
      <c r="G4" s="53" t="str">
        <f aca="false">'Ablesewerte Gas'!G4</f>
        <v>Mai</v>
      </c>
      <c r="H4" s="53" t="str">
        <f aca="false">'Ablesewerte Gas'!H4</f>
        <v>Jun</v>
      </c>
      <c r="I4" s="53" t="str">
        <f aca="false">'Ablesewerte Gas'!I4</f>
        <v>Jul</v>
      </c>
      <c r="J4" s="53" t="str">
        <f aca="false">'Ablesewerte Gas'!J4</f>
        <v>Aug</v>
      </c>
      <c r="K4" s="53" t="str">
        <f aca="false">'Ablesewerte Gas'!K4</f>
        <v>Sep</v>
      </c>
      <c r="L4" s="53" t="str">
        <f aca="false">'Ablesewerte Gas'!L4</f>
        <v>Okt</v>
      </c>
      <c r="M4" s="53" t="str">
        <f aca="false">'Ablesewerte Gas'!M4</f>
        <v>Nov</v>
      </c>
      <c r="N4" s="53" t="str">
        <f aca="false">'Ablesewerte Gas'!N4</f>
        <v>Dez</v>
      </c>
    </row>
    <row r="6" customFormat="false" ht="12.75" hidden="false" customHeight="false" outlineLevel="0" collapsed="false">
      <c r="A6" s="1" t="str">
        <f aca="false">'Ablesewerte Gas'!A6</f>
        <v>Hauptzähler Internat</v>
      </c>
      <c r="C6" s="54" t="n">
        <f aca="false">SUM('Ablesewerte Gas'!D6-'Ablesewerte Gas'!C6)</f>
        <v>11397.8999999999</v>
      </c>
      <c r="D6" s="54" t="n">
        <f aca="false">SUM('Ablesewerte Gas'!E6-'Ablesewerte Gas'!D6)</f>
        <v>12084</v>
      </c>
      <c r="E6" s="54" t="n">
        <f aca="false">SUM('Ablesewerte Gas'!F6-'Ablesewerte Gas'!E6)</f>
        <v>5906.20000000019</v>
      </c>
      <c r="F6" s="54" t="n">
        <f aca="false">SUM('Ablesewerte Gas'!G6-'Ablesewerte Gas'!F6)</f>
        <v>4279</v>
      </c>
      <c r="G6" s="54" t="n">
        <f aca="false">SUM('Ablesewerte Gas'!H6-'Ablesewerte Gas'!G6)</f>
        <v>2228</v>
      </c>
      <c r="H6" s="54" t="n">
        <f aca="false">SUM('Ablesewerte Gas'!I6-'Ablesewerte Gas'!H6)</f>
        <v>1734.79999999981</v>
      </c>
      <c r="I6" s="54" t="n">
        <f aca="false">SUM('Ablesewerte Gas'!J6-'Ablesewerte Gas'!I6)</f>
        <v>1250.39999999991</v>
      </c>
      <c r="J6" s="54" t="n">
        <f aca="false">SUM('Ablesewerte Gas'!K6-'Ablesewerte Gas'!J6)</f>
        <v>1473.39999999991</v>
      </c>
      <c r="K6" s="54" t="n">
        <f aca="false">SUM('Ablesewerte Gas'!L6-'Ablesewerte Gas'!K6)</f>
        <v>2167</v>
      </c>
      <c r="L6" s="54" t="n">
        <f aca="false">SUM('Ablesewerte Gas'!M6-'Ablesewerte Gas'!L6)</f>
        <v>5582.90000000037</v>
      </c>
      <c r="M6" s="54" t="n">
        <f aca="false">SUM('Ablesewerte Gas'!N6-'Ablesewerte Gas'!M6)</f>
        <v>7678.09999999963</v>
      </c>
      <c r="N6" s="54" t="n">
        <f aca="false">SUM('Ablesewerte Gas'!O6-'Ablesewerte Gas'!N6)</f>
        <v>10491.2000000002</v>
      </c>
      <c r="P6" s="54" t="n">
        <f aca="false">SUM(C6:O6)</f>
        <v>66272.8999999999</v>
      </c>
    </row>
    <row r="7" customFormat="false" ht="12.75" hidden="false" customHeight="false" outlineLevel="0" collapsed="false">
      <c r="A7" s="1" t="str">
        <f aca="false">'Ablesewerte Gas'!A7</f>
        <v>Zwischenzähler Küche</v>
      </c>
      <c r="C7" s="54" t="n">
        <f aca="false">SUM('Ablesewerte Gas'!D7-'Ablesewerte Gas'!C7)</f>
        <v>99.71</v>
      </c>
      <c r="D7" s="54" t="n">
        <f aca="false">SUM('Ablesewerte Gas'!E7-'Ablesewerte Gas'!D7)</f>
        <v>78.1299999999992</v>
      </c>
      <c r="E7" s="54" t="n">
        <f aca="false">SUM('Ablesewerte Gas'!F7-'Ablesewerte Gas'!E7)</f>
        <v>91.1300000000001</v>
      </c>
      <c r="F7" s="54" t="n">
        <f aca="false">SUM('Ablesewerte Gas'!G7-'Ablesewerte Gas'!F7)</f>
        <v>56.1600000000008</v>
      </c>
      <c r="G7" s="54" t="n">
        <f aca="false">SUM('Ablesewerte Gas'!H7-'Ablesewerte Gas'!G7)</f>
        <v>83.8499999999995</v>
      </c>
      <c r="H7" s="54" t="n">
        <f aca="false">SUM('Ablesewerte Gas'!I7-'Ablesewerte Gas'!H7)</f>
        <v>58.3400000000001</v>
      </c>
      <c r="I7" s="54" t="n">
        <f aca="false">SUM('Ablesewerte Gas'!J7-'Ablesewerte Gas'!I7)</f>
        <v>48.4899999999998</v>
      </c>
      <c r="J7" s="54" t="n">
        <f aca="false">SUM('Ablesewerte Gas'!K7-'Ablesewerte Gas'!J7)</f>
        <v>26.7200000000003</v>
      </c>
      <c r="K7" s="54" t="n">
        <f aca="false">SUM('Ablesewerte Gas'!L7-'Ablesewerte Gas'!K7)</f>
        <v>72.3199999999997</v>
      </c>
      <c r="L7" s="54" t="n">
        <f aca="false">SUM('Ablesewerte Gas'!M7-'Ablesewerte Gas'!L7)</f>
        <v>85.96</v>
      </c>
      <c r="M7" s="54" t="n">
        <f aca="false">SUM('Ablesewerte Gas'!N7-'Ablesewerte Gas'!M7)</f>
        <v>79.3800000000001</v>
      </c>
      <c r="N7" s="54" t="n">
        <f aca="false">SUM('Ablesewerte Gas'!O7-'Ablesewerte Gas'!N7)</f>
        <v>67.2600000000002</v>
      </c>
      <c r="P7" s="54" t="n">
        <f aca="false">SUM(C7:O7)</f>
        <v>847.45</v>
      </c>
    </row>
    <row r="8" customFormat="false" ht="12.75" hidden="false" customHeight="false" outlineLevel="0" collapsed="false">
      <c r="A8" s="1" t="str">
        <f aca="false">'Ablesewerte Gas'!A8</f>
        <v>alte Aula</v>
      </c>
      <c r="C8" s="54" t="n">
        <f aca="false">SUM('Ablesewerte Gas'!D8-'Ablesewerte Gas'!C8)</f>
        <v>849.01999999999</v>
      </c>
      <c r="D8" s="54" t="n">
        <f aca="false">SUM('Ablesewerte Gas'!E8-'Ablesewerte Gas'!D8)</f>
        <v>895.089999999997</v>
      </c>
      <c r="E8" s="54" t="n">
        <f aca="false">SUM('Ablesewerte Gas'!F8-'Ablesewerte Gas'!E8)</f>
        <v>369.960000000021</v>
      </c>
      <c r="F8" s="54" t="n">
        <f aca="false">SUM('Ablesewerte Gas'!G8-'Ablesewerte Gas'!F8)</f>
        <v>176.669999999984</v>
      </c>
      <c r="G8" s="54" t="n">
        <f aca="false">SUM('Ablesewerte Gas'!H8-'Ablesewerte Gas'!G8)</f>
        <v>47.640000000014</v>
      </c>
      <c r="H8" s="54" t="n">
        <f aca="false">SUM('Ablesewerte Gas'!I8-'Ablesewerte Gas'!H8)</f>
        <v>0</v>
      </c>
      <c r="I8" s="54" t="n">
        <f aca="false">SUM('Ablesewerte Gas'!J8-'Ablesewerte Gas'!I8)</f>
        <v>0</v>
      </c>
      <c r="J8" s="54" t="n">
        <f aca="false">SUM('Ablesewerte Gas'!K8-'Ablesewerte Gas'!J8)</f>
        <v>0</v>
      </c>
      <c r="K8" s="54" t="n">
        <f aca="false">SUM('Ablesewerte Gas'!L8-'Ablesewerte Gas'!K8)</f>
        <v>45.6199999999953</v>
      </c>
      <c r="L8" s="54" t="n">
        <f aca="false">SUM('Ablesewerte Gas'!M8-'Ablesewerte Gas'!L8)</f>
        <v>277.489999999991</v>
      </c>
      <c r="M8" s="54" t="n">
        <f aca="false">SUM('Ablesewerte Gas'!N8-'Ablesewerte Gas'!M8)</f>
        <v>537.880000000005</v>
      </c>
      <c r="N8" s="54" t="n">
        <f aca="false">SUM('Ablesewerte Gas'!O8-'Ablesewerte Gas'!N8)</f>
        <v>693.029999999999</v>
      </c>
      <c r="P8" s="54" t="n">
        <f aca="false">SUM(C8:O8)</f>
        <v>3892.39999999999</v>
      </c>
    </row>
    <row r="9" customFormat="false" ht="12.75" hidden="false" customHeight="false" outlineLevel="0" collapsed="false">
      <c r="A9" s="1" t="str">
        <f aca="false">'Ablesewerte Gas'!A9</f>
        <v>Lichtenstern 13</v>
      </c>
      <c r="C9" s="54" t="n">
        <f aca="false">SUM('Ablesewerte Gas'!D9-'Ablesewerte Gas'!C9)</f>
        <v>505.040000000001</v>
      </c>
      <c r="D9" s="54" t="n">
        <f aca="false">SUM('Ablesewerte Gas'!E9-'Ablesewerte Gas'!D9)</f>
        <v>614.799999999996</v>
      </c>
      <c r="E9" s="54" t="n">
        <f aca="false">SUM('Ablesewerte Gas'!F9-'Ablesewerte Gas'!E9)</f>
        <v>332.390000000007</v>
      </c>
      <c r="F9" s="54" t="n">
        <f aca="false">SUM('Ablesewerte Gas'!G9-'Ablesewerte Gas'!F9)</f>
        <v>302.589999999997</v>
      </c>
      <c r="G9" s="24" t="n">
        <v>111.32</v>
      </c>
      <c r="H9" s="54" t="n">
        <f aca="false">SUM('Ablesewerte Gas'!I9-'Ablesewerte Gas'!H9)</f>
        <v>85.782</v>
      </c>
      <c r="I9" s="54" t="n">
        <f aca="false">SUM('Ablesewerte Gas'!J9-'Ablesewerte Gas'!I9)</f>
        <v>62.448</v>
      </c>
      <c r="J9" s="54" t="n">
        <f aca="false">SUM('Ablesewerte Gas'!K9-'Ablesewerte Gas'!J9)</f>
        <v>83.66</v>
      </c>
      <c r="K9" s="54" t="n">
        <f aca="false">SUM('Ablesewerte Gas'!L9-'Ablesewerte Gas'!K9)</f>
        <v>93.11</v>
      </c>
      <c r="L9" s="54" t="n">
        <f aca="false">SUM('Ablesewerte Gas'!M9-'Ablesewerte Gas'!L9)</f>
        <v>265.83</v>
      </c>
      <c r="M9" s="54" t="n">
        <f aca="false">SUM('Ablesewerte Gas'!N9-'Ablesewerte Gas'!M9)</f>
        <v>364.939</v>
      </c>
      <c r="N9" s="54" t="n">
        <f aca="false">SUM('Ablesewerte Gas'!O9-'Ablesewerte Gas'!N9)</f>
        <v>532.098</v>
      </c>
      <c r="P9" s="54" t="n">
        <f aca="false">SUM(C9:N9)</f>
        <v>3354.007</v>
      </c>
    </row>
    <row r="12" customFormat="false" ht="15" hidden="false" customHeight="false" outlineLevel="0" collapsed="false">
      <c r="A12" s="2" t="n">
        <v>2013</v>
      </c>
      <c r="B12" s="53" t="str">
        <f aca="false">'Ablesewerte Gas'!B14</f>
        <v>m³</v>
      </c>
      <c r="C12" s="55" t="s">
        <v>2</v>
      </c>
      <c r="D12" s="55" t="s">
        <v>3</v>
      </c>
      <c r="E12" s="55" t="s">
        <v>4</v>
      </c>
      <c r="F12" s="55" t="s">
        <v>5</v>
      </c>
      <c r="G12" s="55" t="s">
        <v>6</v>
      </c>
      <c r="H12" s="55" t="s">
        <v>7</v>
      </c>
      <c r="I12" s="55" t="s">
        <v>8</v>
      </c>
      <c r="J12" s="55" t="s">
        <v>9</v>
      </c>
      <c r="K12" s="55" t="s">
        <v>10</v>
      </c>
      <c r="L12" s="55" t="s">
        <v>11</v>
      </c>
      <c r="M12" s="55" t="s">
        <v>12</v>
      </c>
      <c r="N12" s="55" t="s">
        <v>13</v>
      </c>
    </row>
    <row r="14" customFormat="false" ht="12.75" hidden="false" customHeight="false" outlineLevel="0" collapsed="false">
      <c r="A14" s="1" t="s">
        <v>14</v>
      </c>
      <c r="C14" s="54" t="n">
        <f aca="false">SUM('Ablesewerte Gas'!D16-'Ablesewerte Gas'!C16)</f>
        <v>9617.10000000009</v>
      </c>
      <c r="D14" s="54" t="n">
        <f aca="false">SUM('Ablesewerte Gas'!E16-'Ablesewerte Gas'!D16)</f>
        <v>10586.6999999997</v>
      </c>
      <c r="E14" s="54" t="n">
        <f aca="false">SUM('Ablesewerte Gas'!F16-'Ablesewerte Gas'!E16)</f>
        <v>9132.70000000019</v>
      </c>
      <c r="F14" s="54" t="n">
        <f aca="false">SUM('Ablesewerte Gas'!G16-'Ablesewerte Gas'!F16)</f>
        <v>5025.60000000009</v>
      </c>
      <c r="G14" s="54" t="n">
        <f aca="false">SUM('Ablesewerte Gas'!H16-'Ablesewerte Gas'!G16)</f>
        <v>3176.89999999991</v>
      </c>
      <c r="H14" s="54" t="n">
        <f aca="false">SUM('Ablesewerte Gas'!I16-'Ablesewerte Gas'!H16)</f>
        <v>1727.79999999981</v>
      </c>
      <c r="I14" s="54" t="n">
        <f aca="false">SUM('Ablesewerte Gas'!J16-'Ablesewerte Gas'!I16)</f>
        <v>1275.10000000009</v>
      </c>
      <c r="J14" s="54" t="n">
        <f aca="false">SUM('Ablesewerte Gas'!K16-'Ablesewerte Gas'!J16)</f>
        <v>1145.89999999991</v>
      </c>
      <c r="K14" s="54" t="n">
        <f aca="false">SUM('Ablesewerte Gas'!L16-'Ablesewerte Gas'!K16)</f>
        <v>2330.30000000028</v>
      </c>
      <c r="L14" s="54" t="n">
        <f aca="false">SUM('Ablesewerte Gas'!M16-'Ablesewerte Gas'!L16)</f>
        <v>4264.79999999981</v>
      </c>
      <c r="M14" s="54" t="n">
        <f aca="false">SUM('Ablesewerte Gas'!N16-'Ablesewerte Gas'!M16)</f>
        <v>7554.70000000019</v>
      </c>
      <c r="N14" s="54" t="n">
        <f aca="false">SUM('Ablesewerte Gas'!O16-'Ablesewerte Gas'!N16)</f>
        <v>10466</v>
      </c>
      <c r="P14" s="54" t="n">
        <f aca="false">SUM(C14:O14)</f>
        <v>66303.6000000001</v>
      </c>
    </row>
    <row r="15" customFormat="false" ht="12.75" hidden="false" customHeight="false" outlineLevel="0" collapsed="false">
      <c r="A15" s="1" t="s">
        <v>15</v>
      </c>
      <c r="C15" s="54" t="n">
        <f aca="false">SUM('Ablesewerte Gas'!D17-'Ablesewerte Gas'!C17)</f>
        <v>47.9499999999998</v>
      </c>
      <c r="D15" s="54" t="n">
        <f aca="false">SUM('Ablesewerte Gas'!E17-'Ablesewerte Gas'!D17)</f>
        <v>40.3100000000004</v>
      </c>
      <c r="E15" s="54" t="n">
        <f aca="false">SUM('Ablesewerte Gas'!F17-'Ablesewerte Gas'!E17)</f>
        <v>48.8899999999994</v>
      </c>
      <c r="F15" s="54" t="n">
        <f aca="false">SUM('Ablesewerte Gas'!G17-'Ablesewerte Gas'!F17)</f>
        <v>59.04</v>
      </c>
      <c r="G15" s="54" t="n">
        <f aca="false">SUM('Ablesewerte Gas'!H17-'Ablesewerte Gas'!G17)</f>
        <v>22.4400000000005</v>
      </c>
      <c r="H15" s="54" t="n">
        <f aca="false">SUM('Ablesewerte Gas'!I17-'Ablesewerte Gas'!H17)</f>
        <v>55.71</v>
      </c>
      <c r="I15" s="54" t="n">
        <f aca="false">SUM('Ablesewerte Gas'!J17-'Ablesewerte Gas'!I17)</f>
        <v>31.7199999999993</v>
      </c>
      <c r="J15" s="54" t="n">
        <f aca="false">SUM('Ablesewerte Gas'!K17-'Ablesewerte Gas'!J17)</f>
        <v>17.0500000000002</v>
      </c>
      <c r="K15" s="54" t="n">
        <f aca="false">SUM('Ablesewerte Gas'!L17-'Ablesewerte Gas'!K17)</f>
        <v>52.7600000000002</v>
      </c>
      <c r="L15" s="54" t="n">
        <f aca="false">SUM('Ablesewerte Gas'!M17-'Ablesewerte Gas'!L17)</f>
        <v>69.3699999999999</v>
      </c>
      <c r="M15" s="54" t="n">
        <f aca="false">SUM('Ablesewerte Gas'!N17-'Ablesewerte Gas'!M17)</f>
        <v>60.6900000000005</v>
      </c>
      <c r="N15" s="54" t="n">
        <f aca="false">SUM('Ablesewerte Gas'!O17-'Ablesewerte Gas'!N17)</f>
        <v>44.8599999999997</v>
      </c>
      <c r="P15" s="54" t="n">
        <f aca="false">SUM(C15:O15)</f>
        <v>550.79</v>
      </c>
    </row>
    <row r="16" customFormat="false" ht="12.75" hidden="false" customHeight="false" outlineLevel="0" collapsed="false">
      <c r="A16" s="1" t="s">
        <v>17</v>
      </c>
      <c r="C16" s="54" t="n">
        <f aca="false">SUM('Ablesewerte Gas'!D18-'Ablesewerte Gas'!C18)</f>
        <v>750.860000000015</v>
      </c>
      <c r="D16" s="54" t="n">
        <f aca="false">SUM('Ablesewerte Gas'!E18-'Ablesewerte Gas'!D18)</f>
        <v>868.190000000002</v>
      </c>
      <c r="E16" s="54" t="n">
        <f aca="false">SUM('Ablesewerte Gas'!F18-'Ablesewerte Gas'!E18)</f>
        <v>775.929999999993</v>
      </c>
      <c r="F16" s="54" t="n">
        <f aca="false">SUM('Ablesewerte Gas'!G18-'Ablesewerte Gas'!F18)</f>
        <v>247.889999999985</v>
      </c>
      <c r="G16" s="54" t="n">
        <f aca="false">SUM('Ablesewerte Gas'!H18-'Ablesewerte Gas'!G18)</f>
        <v>67.5100000000093</v>
      </c>
      <c r="H16" s="54" t="n">
        <f aca="false">SUM('Ablesewerte Gas'!I18-'Ablesewerte Gas'!H18)</f>
        <v>3</v>
      </c>
      <c r="I16" s="54" t="n">
        <f aca="false">SUM('Ablesewerte Gas'!J18-'Ablesewerte Gas'!I18)</f>
        <v>0</v>
      </c>
      <c r="J16" s="54" t="n">
        <f aca="false">SUM('Ablesewerte Gas'!K18-'Ablesewerte Gas'!J18)</f>
        <v>0</v>
      </c>
      <c r="K16" s="54" t="n">
        <f aca="false">SUM('Ablesewerte Gas'!L18-'Ablesewerte Gas'!K18)</f>
        <v>70.8999999999942</v>
      </c>
      <c r="L16" s="54" t="n">
        <f aca="false">SUM('Ablesewerte Gas'!M18-'Ablesewerte Gas'!L18)</f>
        <v>218.800000000017</v>
      </c>
      <c r="M16" s="54" t="n">
        <f aca="false">SUM('Ablesewerte Gas'!N18-'Ablesewerte Gas'!M18)</f>
        <v>598.599999999977</v>
      </c>
      <c r="N16" s="54" t="n">
        <f aca="false">SUM('Ablesewerte Gas'!O18-'Ablesewerte Gas'!N18)</f>
        <v>794.420000000013</v>
      </c>
      <c r="P16" s="54" t="n">
        <f aca="false">SUM(C16:O16)</f>
        <v>4396.10000000001</v>
      </c>
    </row>
    <row r="17" customFormat="false" ht="12.75" hidden="false" customHeight="false" outlineLevel="0" collapsed="false">
      <c r="A17" s="1" t="s">
        <v>18</v>
      </c>
      <c r="C17" s="54" t="n">
        <f aca="false">SUM('Ablesewerte Gas'!D19-'Ablesewerte Gas'!C19)</f>
        <v>433.803</v>
      </c>
      <c r="D17" s="54" t="n">
        <f aca="false">SUM('Ablesewerte Gas'!E19-'Ablesewerte Gas'!D19)</f>
        <v>510.855</v>
      </c>
      <c r="E17" s="54" t="n">
        <f aca="false">SUM('Ablesewerte Gas'!F19-'Ablesewerte Gas'!E19)</f>
        <v>456.575</v>
      </c>
      <c r="F17" s="54" t="n">
        <f aca="false">SUM('Ablesewerte Gas'!G19-'Ablesewerte Gas'!F19)</f>
        <v>231.27</v>
      </c>
      <c r="G17" s="54" t="n">
        <f aca="false">SUM('Ablesewerte Gas'!H19-'Ablesewerte Gas'!G19)</f>
        <v>186.63</v>
      </c>
      <c r="H17" s="54" t="n">
        <f aca="false">SUM('Ablesewerte Gas'!I19-'Ablesewerte Gas'!H19)</f>
        <v>95.5</v>
      </c>
      <c r="I17" s="54" t="n">
        <f aca="false">SUM('Ablesewerte Gas'!J19-'Ablesewerte Gas'!I19)</f>
        <v>84.3799999999997</v>
      </c>
      <c r="J17" s="54" t="n">
        <f aca="false">SUM('Ablesewerte Gas'!K19-'Ablesewerte Gas'!J19)</f>
        <v>63.3900000000003</v>
      </c>
      <c r="K17" s="54" t="n">
        <f aca="false">SUM('Ablesewerte Gas'!L19-'Ablesewerte Gas'!K19)</f>
        <v>110.665</v>
      </c>
      <c r="L17" s="54" t="n">
        <f aca="false">SUM('Ablesewerte Gas'!M19-'Ablesewerte Gas'!L19)</f>
        <v>232.105</v>
      </c>
      <c r="M17" s="54" t="n">
        <f aca="false">SUM('Ablesewerte Gas'!N19-'Ablesewerte Gas'!M19)</f>
        <v>339.5</v>
      </c>
      <c r="N17" s="54" t="n">
        <f aca="false">SUM('Ablesewerte Gas'!O19-'Ablesewerte Gas'!N19)</f>
        <v>522.13</v>
      </c>
      <c r="P17" s="54" t="n">
        <f aca="false">SUM(C17:O17)</f>
        <v>3266.803</v>
      </c>
    </row>
    <row r="21" customFormat="false" ht="15" hidden="false" customHeight="false" outlineLevel="0" collapsed="false">
      <c r="A21" s="2" t="n">
        <v>2014</v>
      </c>
      <c r="B21" s="53" t="str">
        <f aca="false">'Ablesewerte Gas'!B23</f>
        <v>m³</v>
      </c>
      <c r="C21" s="55" t="s">
        <v>2</v>
      </c>
      <c r="D21" s="55" t="s">
        <v>3</v>
      </c>
      <c r="E21" s="55" t="s">
        <v>4</v>
      </c>
      <c r="F21" s="55" t="s">
        <v>5</v>
      </c>
      <c r="G21" s="55" t="s">
        <v>6</v>
      </c>
      <c r="H21" s="55" t="s">
        <v>7</v>
      </c>
      <c r="I21" s="55" t="s">
        <v>8</v>
      </c>
      <c r="J21" s="55" t="s">
        <v>9</v>
      </c>
      <c r="K21" s="55" t="s">
        <v>10</v>
      </c>
      <c r="L21" s="55" t="s">
        <v>11</v>
      </c>
      <c r="M21" s="55" t="s">
        <v>12</v>
      </c>
      <c r="N21" s="55" t="s">
        <v>13</v>
      </c>
    </row>
    <row r="23" customFormat="false" ht="12.75" hidden="false" customHeight="false" outlineLevel="0" collapsed="false">
      <c r="A23" s="1" t="s">
        <v>14</v>
      </c>
      <c r="C23" s="54" t="n">
        <f aca="false">SUM('Ablesewerte Gas'!D25-'Ablesewerte Gas'!C25)</f>
        <v>7372.10000000009</v>
      </c>
      <c r="D23" s="54" t="n">
        <f aca="false">SUM('Ablesewerte Gas'!E25-'Ablesewerte Gas'!D25)</f>
        <v>8619.09999999963</v>
      </c>
      <c r="E23" s="54" t="n">
        <f aca="false">SUM('Ablesewerte Gas'!F25-'Ablesewerte Gas'!E25)</f>
        <v>4899</v>
      </c>
      <c r="F23" s="54" t="n">
        <f aca="false">SUM('Ablesewerte Gas'!G25-'Ablesewerte Gas'!F25)</f>
        <v>3730.20000000019</v>
      </c>
      <c r="G23" s="54" t="n">
        <f aca="false">SUM('Ablesewerte Gas'!H25-'Ablesewerte Gas'!G25)</f>
        <v>2671.70000000019</v>
      </c>
      <c r="H23" s="54" t="n">
        <f aca="false">SUM('Ablesewerte Gas'!I25-'Ablesewerte Gas'!H25)</f>
        <v>1171</v>
      </c>
      <c r="I23" s="54" t="n">
        <f aca="false">SUM('Ablesewerte Gas'!J25-'Ablesewerte Gas'!I25)</f>
        <v>1856.5</v>
      </c>
      <c r="J23" s="54" t="n">
        <f aca="false">SUM('Ablesewerte Gas'!K25-'Ablesewerte Gas'!J25)</f>
        <v>2292.09999999963</v>
      </c>
      <c r="K23" s="54" t="n">
        <f aca="false">SUM('Ablesewerte Gas'!L25-'Ablesewerte Gas'!K25)</f>
        <v>3506.5</v>
      </c>
      <c r="L23" s="54" t="n">
        <f aca="false">SUM('Ablesewerte Gas'!M25-'Ablesewerte Gas'!L25)</f>
        <v>4508.90000000037</v>
      </c>
      <c r="M23" s="54" t="n">
        <f aca="false">SUM('Ablesewerte Gas'!N25-'Ablesewerte Gas'!M25)</f>
        <v>9289.19999999972</v>
      </c>
      <c r="N23" s="54" t="n">
        <f aca="false">SUM('Ablesewerte Gas'!O25-'Ablesewerte Gas'!N25)</f>
        <v>14678.3999999999</v>
      </c>
      <c r="P23" s="54" t="n">
        <f aca="false">SUM(C23:O23)</f>
        <v>64594.6999999997</v>
      </c>
    </row>
    <row r="24" customFormat="false" ht="12.75" hidden="false" customHeight="false" outlineLevel="0" collapsed="false">
      <c r="A24" s="1" t="s">
        <v>15</v>
      </c>
      <c r="C24" s="54" t="n">
        <f aca="false">SUM('Ablesewerte Gas'!D26-'Ablesewerte Gas'!C26)</f>
        <v>53.3699999999999</v>
      </c>
      <c r="D24" s="54" t="n">
        <f aca="false">SUM('Ablesewerte Gas'!E26-'Ablesewerte Gas'!D26)</f>
        <v>56.5699999999997</v>
      </c>
      <c r="E24" s="54" t="n">
        <f aca="false">SUM('Ablesewerte Gas'!F26-'Ablesewerte Gas'!E26)</f>
        <v>41.6400000000003</v>
      </c>
      <c r="F24" s="54" t="n">
        <f aca="false">SUM('Ablesewerte Gas'!G26-'Ablesewerte Gas'!F26)</f>
        <v>30.8999999999996</v>
      </c>
      <c r="G24" s="54" t="n">
        <f aca="false">SUM('Ablesewerte Gas'!H26-'Ablesewerte Gas'!G26)</f>
        <v>48.3299999999999</v>
      </c>
      <c r="H24" s="54" t="n">
        <f aca="false">SUM('Ablesewerte Gas'!I26-'Ablesewerte Gas'!H26)</f>
        <v>17.7600000000002</v>
      </c>
      <c r="I24" s="54" t="n">
        <f aca="false">SUM('Ablesewerte Gas'!J26-'Ablesewerte Gas'!I26)</f>
        <v>29.2700000000004</v>
      </c>
      <c r="J24" s="54" t="n">
        <f aca="false">SUM('Ablesewerte Gas'!K26-'Ablesewerte Gas'!J26)</f>
        <v>20.3000000000002</v>
      </c>
      <c r="K24" s="54" t="n">
        <f aca="false">SUM('Ablesewerte Gas'!L26-'Ablesewerte Gas'!K26)</f>
        <v>47.5499999999993</v>
      </c>
      <c r="L24" s="54" t="n">
        <f aca="false">SUM('Ablesewerte Gas'!M26-'Ablesewerte Gas'!L26)</f>
        <v>41.5799999999999</v>
      </c>
      <c r="M24" s="54" t="n">
        <f aca="false">SUM('Ablesewerte Gas'!N26-'Ablesewerte Gas'!M26)</f>
        <v>62.5799999999999</v>
      </c>
      <c r="N24" s="54" t="n">
        <f aca="false">SUM('Ablesewerte Gas'!O26-'Ablesewerte Gas'!N26)</f>
        <v>37.4400000000005</v>
      </c>
      <c r="P24" s="54" t="n">
        <f aca="false">SUM(C24:O24)</f>
        <v>487.29</v>
      </c>
    </row>
    <row r="25" customFormat="false" ht="12.75" hidden="false" customHeight="false" outlineLevel="0" collapsed="false">
      <c r="A25" s="1" t="s">
        <v>17</v>
      </c>
      <c r="C25" s="54" t="n">
        <f aca="false">SUM('Ablesewerte Gas'!D27-'Ablesewerte Gas'!C27)</f>
        <v>633.239999999991</v>
      </c>
      <c r="D25" s="54" t="n">
        <f aca="false">SUM('Ablesewerte Gas'!E27-'Ablesewerte Gas'!D27)</f>
        <v>593.640000000014</v>
      </c>
      <c r="E25" s="54" t="n">
        <f aca="false">SUM('Ablesewerte Gas'!F27-'Ablesewerte Gas'!E27)</f>
        <v>304.679999999993</v>
      </c>
      <c r="F25" s="54" t="n">
        <f aca="false">SUM('Ablesewerte Gas'!G27-'Ablesewerte Gas'!F27)</f>
        <v>150.119999999995</v>
      </c>
      <c r="G25" s="54" t="n">
        <f aca="false">SUM('Ablesewerte Gas'!H27-'Ablesewerte Gas'!G27)</f>
        <v>57.8399999999965</v>
      </c>
      <c r="H25" s="54" t="n">
        <f aca="false">SUM('Ablesewerte Gas'!I27-'Ablesewerte Gas'!H27)</f>
        <v>0</v>
      </c>
      <c r="I25" s="54" t="n">
        <f aca="false">SUM('Ablesewerte Gas'!J27-'Ablesewerte Gas'!I27)</f>
        <v>0</v>
      </c>
      <c r="J25" s="54" t="n">
        <f aca="false">SUM('Ablesewerte Gas'!K27-'Ablesewerte Gas'!J27)</f>
        <v>0</v>
      </c>
      <c r="K25" s="54" t="n">
        <f aca="false">SUM('Ablesewerte Gas'!L27-'Ablesewerte Gas'!K27)</f>
        <v>62.1700000000128</v>
      </c>
      <c r="L25" s="54" t="n">
        <f aca="false">SUM('Ablesewerte Gas'!M27-'Ablesewerte Gas'!L27)</f>
        <v>131.290000000008</v>
      </c>
      <c r="M25" s="54" t="n">
        <f aca="false">SUM('Ablesewerte Gas'!N27-'Ablesewerte Gas'!M27)</f>
        <v>411.449999999983</v>
      </c>
      <c r="N25" s="54" t="n">
        <f aca="false">SUM('Ablesewerte Gas'!O27-'Ablesewerte Gas'!N27)</f>
        <v>938.089999999997</v>
      </c>
      <c r="P25" s="54" t="n">
        <f aca="false">SUM(C25:O25)</f>
        <v>3282.51999999999</v>
      </c>
    </row>
    <row r="26" customFormat="false" ht="12.75" hidden="false" customHeight="false" outlineLevel="0" collapsed="false">
      <c r="A26" s="1" t="s">
        <v>18</v>
      </c>
      <c r="C26" s="54" t="n">
        <f aca="false">SUM('Ablesewerte Gas'!D28-'Ablesewerte Gas'!C28)</f>
        <v>332.33</v>
      </c>
      <c r="D26" s="54" t="n">
        <f aca="false">SUM('Ablesewerte Gas'!E28-'Ablesewerte Gas'!D28)</f>
        <v>403.55</v>
      </c>
      <c r="E26" s="54" t="n">
        <f aca="false">SUM('Ablesewerte Gas'!F28-'Ablesewerte Gas'!E28)</f>
        <v>231.97</v>
      </c>
      <c r="F26" s="54" t="n">
        <f aca="false">SUM('Ablesewerte Gas'!G28-'Ablesewerte Gas'!F28)</f>
        <v>181.77</v>
      </c>
      <c r="G26" s="54" t="n">
        <f aca="false">SUM('Ablesewerte Gas'!H28-'Ablesewerte Gas'!G28)</f>
        <v>120.044000000001</v>
      </c>
      <c r="H26" s="54" t="n">
        <f aca="false">SUM('Ablesewerte Gas'!I28-'Ablesewerte Gas'!H28)</f>
        <v>6.85599999999977</v>
      </c>
      <c r="I26" s="54" t="n">
        <f aca="false">SUM('Ablesewerte Gas'!J28-'Ablesewerte Gas'!I28)</f>
        <v>0.00199999999949796</v>
      </c>
      <c r="J26" s="54" t="n">
        <f aca="false">SUM('Ablesewerte Gas'!K28-'Ablesewerte Gas'!J28)</f>
        <v>0.00500000000010914</v>
      </c>
      <c r="K26" s="54" t="n">
        <f aca="false">SUM('Ablesewerte Gas'!L28-'Ablesewerte Gas'!K28)</f>
        <v>0.00300000000061118</v>
      </c>
      <c r="L26" s="54" t="n">
        <f aca="false">SUM('Ablesewerte Gas'!M28-'Ablesewerte Gas'!L28)</f>
        <v>0</v>
      </c>
      <c r="M26" s="54" t="n">
        <f aca="false">SUM('Ablesewerte Gas'!N28-'Ablesewerte Gas'!M28)</f>
        <v>0</v>
      </c>
      <c r="N26" s="54" t="n">
        <f aca="false">SUM('Ablesewerte Gas'!O28-'Ablesewerte Gas'!N28)</f>
        <v>0</v>
      </c>
      <c r="P26" s="54" t="n">
        <f aca="false">SUM(C26:O26)</f>
        <v>1276.53</v>
      </c>
    </row>
    <row r="30" customFormat="false" ht="15" hidden="false" customHeight="false" outlineLevel="0" collapsed="false">
      <c r="A30" s="2" t="n">
        <v>2015</v>
      </c>
      <c r="B30" s="53" t="s">
        <v>1</v>
      </c>
      <c r="C30" s="55" t="s">
        <v>2</v>
      </c>
      <c r="D30" s="55" t="s">
        <v>3</v>
      </c>
      <c r="E30" s="55" t="s">
        <v>4</v>
      </c>
      <c r="F30" s="55" t="s">
        <v>5</v>
      </c>
      <c r="G30" s="55" t="s">
        <v>6</v>
      </c>
      <c r="H30" s="55" t="s">
        <v>7</v>
      </c>
      <c r="I30" s="55" t="s">
        <v>8</v>
      </c>
      <c r="J30" s="55" t="s">
        <v>9</v>
      </c>
      <c r="K30" s="55" t="s">
        <v>10</v>
      </c>
      <c r="L30" s="55" t="s">
        <v>11</v>
      </c>
      <c r="M30" s="55" t="s">
        <v>12</v>
      </c>
      <c r="N30" s="55" t="s">
        <v>13</v>
      </c>
    </row>
    <row r="32" customFormat="false" ht="12.75" hidden="false" customHeight="false" outlineLevel="0" collapsed="false">
      <c r="A32" s="1" t="s">
        <v>14</v>
      </c>
      <c r="C32" s="54" t="n">
        <f aca="false">SUM('Ablesewerte Gas'!D35-'Ablesewerte Gas'!C35)</f>
        <v>11458.1000000001</v>
      </c>
      <c r="D32" s="54" t="n">
        <f aca="false">SUM('Ablesewerte Gas'!E35-'Ablesewerte Gas'!D35)</f>
        <v>13011.8000000003</v>
      </c>
      <c r="E32" s="54" t="n">
        <f aca="false">SUM('Ablesewerte Gas'!F35-'Ablesewerte Gas'!E35)</f>
        <v>9693.39999999991</v>
      </c>
      <c r="F32" s="54" t="n">
        <f aca="false">SUM('Ablesewerte Gas'!G35-'Ablesewerte Gas'!F35)</f>
        <v>6391.5</v>
      </c>
      <c r="G32" s="54" t="n">
        <f aca="false">SUM('Ablesewerte Gas'!H35-'Ablesewerte Gas'!G35)</f>
        <v>3051.39999999991</v>
      </c>
      <c r="H32" s="54" t="n">
        <f aca="false">SUM('Ablesewerte Gas'!I35-'Ablesewerte Gas'!H35)</f>
        <v>2872.70000000019</v>
      </c>
      <c r="I32" s="54" t="n">
        <f aca="false">SUM('Ablesewerte Gas'!J35-'Ablesewerte Gas'!I35)</f>
        <v>2289.39999999991</v>
      </c>
      <c r="J32" s="54" t="n">
        <f aca="false">SUM('Ablesewerte Gas'!K35-'Ablesewerte Gas'!J35)</f>
        <v>1540.10000000009</v>
      </c>
      <c r="K32" s="54" t="n">
        <f aca="false">SUM('Ablesewerte Gas'!L35-'Ablesewerte Gas'!K35)</f>
        <v>4871</v>
      </c>
      <c r="L32" s="54" t="n">
        <f aca="false">SUM('Ablesewerte Gas'!M35-'Ablesewerte Gas'!L35)</f>
        <v>8005.5</v>
      </c>
      <c r="M32" s="54" t="n">
        <f aca="false">SUM('Ablesewerte Gas'!N35-'Ablesewerte Gas'!M35)</f>
        <v>8795.89999999991</v>
      </c>
      <c r="N32" s="54" t="n">
        <f aca="false">SUM('Ablesewerte Gas'!O35-'Ablesewerte Gas'!N35)</f>
        <v>13749.1000000001</v>
      </c>
      <c r="P32" s="54" t="n">
        <f aca="false">SUM(C32:O32)</f>
        <v>85729.9000000004</v>
      </c>
    </row>
    <row r="33" customFormat="false" ht="12.75" hidden="false" customHeight="false" outlineLevel="0" collapsed="false">
      <c r="A33" s="1" t="s">
        <v>15</v>
      </c>
      <c r="C33" s="54" t="n">
        <f aca="false">SUM('Ablesewerte Gas'!D36-'Ablesewerte Gas'!C36)</f>
        <v>52.8800000000001</v>
      </c>
      <c r="D33" s="54" t="n">
        <f aca="false">SUM('Ablesewerte Gas'!E36-'Ablesewerte Gas'!D36)</f>
        <v>39.5999999999995</v>
      </c>
      <c r="E33" s="54" t="n">
        <f aca="false">SUM('Ablesewerte Gas'!F36-'Ablesewerte Gas'!E36)</f>
        <v>58.3400000000001</v>
      </c>
      <c r="F33" s="54" t="n">
        <f aca="false">SUM('Ablesewerte Gas'!G36-'Ablesewerte Gas'!F36)</f>
        <v>33.2600000000002</v>
      </c>
      <c r="G33" s="54" t="n">
        <f aca="false">SUM('Ablesewerte Gas'!H36-'Ablesewerte Gas'!G36)</f>
        <v>30.1999999999998</v>
      </c>
      <c r="H33" s="54" t="n">
        <f aca="false">SUM('Ablesewerte Gas'!I36-'Ablesewerte Gas'!H36)</f>
        <v>56.6300000000001</v>
      </c>
      <c r="I33" s="54" t="n">
        <f aca="false">SUM('Ablesewerte Gas'!J36-'Ablesewerte Gas'!I36)</f>
        <v>32.5200000000004</v>
      </c>
      <c r="J33" s="54" t="n">
        <f aca="false">SUM('Ablesewerte Gas'!K36-'Ablesewerte Gas'!J36)</f>
        <v>27</v>
      </c>
      <c r="K33" s="54" t="n">
        <f aca="false">SUM('Ablesewerte Gas'!L36-'Ablesewerte Gas'!K36)</f>
        <v>42.6199999999999</v>
      </c>
      <c r="L33" s="54" t="n">
        <f aca="false">SUM('Ablesewerte Gas'!M36-'Ablesewerte Gas'!L36)</f>
        <v>68.4799999999996</v>
      </c>
      <c r="M33" s="54" t="n">
        <f aca="false">SUM('Ablesewerte Gas'!N36-'Ablesewerte Gas'!M36)</f>
        <v>57.9099999999999</v>
      </c>
      <c r="N33" s="54" t="n">
        <f aca="false">SUM('Ablesewerte Gas'!O36-'Ablesewerte Gas'!N36)</f>
        <v>38.5600000000004</v>
      </c>
      <c r="P33" s="54" t="n">
        <f aca="false">SUM(C33:O33)</f>
        <v>538</v>
      </c>
    </row>
    <row r="34" customFormat="false" ht="12.75" hidden="false" customHeight="false" outlineLevel="0" collapsed="false">
      <c r="A34" s="1" t="s">
        <v>17</v>
      </c>
      <c r="C34" s="54" t="n">
        <f aca="false">SUM('Ablesewerte Gas'!D37-'Ablesewerte Gas'!C37)</f>
        <v>709.040000000008</v>
      </c>
      <c r="D34" s="54" t="n">
        <f aca="false">SUM('Ablesewerte Gas'!E37-'Ablesewerte Gas'!D37)</f>
        <v>809.920000000013</v>
      </c>
      <c r="E34" s="54" t="n">
        <f aca="false">SUM('Ablesewerte Gas'!F37-'Ablesewerte Gas'!E37)</f>
        <v>471</v>
      </c>
      <c r="F34" s="54" t="n">
        <f aca="false">SUM('Ablesewerte Gas'!G37-'Ablesewerte Gas'!F37)</f>
        <v>227.690000000002</v>
      </c>
      <c r="G34" s="54" t="n">
        <f aca="false">SUM('Ablesewerte Gas'!H37-'Ablesewerte Gas'!G37)</f>
        <v>1.30999999999767</v>
      </c>
      <c r="H34" s="54" t="n">
        <f aca="false">SUM('Ablesewerte Gas'!I37-'Ablesewerte Gas'!H37)</f>
        <v>0</v>
      </c>
      <c r="I34" s="54" t="n">
        <f aca="false">SUM('Ablesewerte Gas'!J37-'Ablesewerte Gas'!I37)</f>
        <v>0.0699999999778811</v>
      </c>
      <c r="J34" s="54" t="n">
        <f aca="false">SUM('Ablesewerte Gas'!K37-'Ablesewerte Gas'!J37)</f>
        <v>0</v>
      </c>
      <c r="K34" s="54" t="n">
        <f aca="false">SUM('Ablesewerte Gas'!L37-'Ablesewerte Gas'!K37)</f>
        <v>69.1300000000047</v>
      </c>
      <c r="L34" s="54" t="n">
        <f aca="false">SUM('Ablesewerte Gas'!M37-'Ablesewerte Gas'!L37)</f>
        <v>278.089999999997</v>
      </c>
      <c r="M34" s="54" t="n">
        <f aca="false">SUM('Ablesewerte Gas'!N37-'Ablesewerte Gas'!M37)</f>
        <v>429.119999999995</v>
      </c>
      <c r="N34" s="54" t="n">
        <f aca="false">SUM('Ablesewerte Gas'!O37-'Ablesewerte Gas'!N37)</f>
        <v>712.090000000026</v>
      </c>
      <c r="P34" s="54" t="n">
        <f aca="false">SUM(C34:O34)</f>
        <v>3707.46000000002</v>
      </c>
    </row>
    <row r="35" customFormat="false" ht="12.75" hidden="false" customHeight="false" outlineLevel="0" collapsed="false">
      <c r="A35" s="1" t="s">
        <v>18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P35" s="54"/>
    </row>
    <row r="38" customFormat="false" ht="15" hidden="false" customHeight="false" outlineLevel="0" collapsed="false">
      <c r="A38" s="2" t="n">
        <v>2016</v>
      </c>
      <c r="B38" s="53" t="s">
        <v>1</v>
      </c>
      <c r="C38" s="55" t="s">
        <v>2</v>
      </c>
      <c r="D38" s="55" t="s">
        <v>3</v>
      </c>
      <c r="E38" s="55" t="s">
        <v>4</v>
      </c>
      <c r="F38" s="55" t="s">
        <v>5</v>
      </c>
      <c r="G38" s="55" t="s">
        <v>6</v>
      </c>
      <c r="H38" s="55" t="s">
        <v>7</v>
      </c>
      <c r="I38" s="55" t="s">
        <v>8</v>
      </c>
      <c r="J38" s="55" t="s">
        <v>9</v>
      </c>
      <c r="K38" s="55" t="s">
        <v>10</v>
      </c>
      <c r="L38" s="55" t="s">
        <v>11</v>
      </c>
      <c r="M38" s="55" t="s">
        <v>12</v>
      </c>
      <c r="N38" s="55" t="s">
        <v>13</v>
      </c>
    </row>
    <row r="40" customFormat="false" ht="12.75" hidden="false" customHeight="false" outlineLevel="0" collapsed="false">
      <c r="A40" s="1" t="s">
        <v>14</v>
      </c>
      <c r="C40" s="54" t="n">
        <f aca="false">SUM('Ablesewerte Gas'!D44-'Ablesewerte Gas'!C44)</f>
        <v>9833.19999999972</v>
      </c>
      <c r="D40" s="54" t="n">
        <f aca="false">SUM('Ablesewerte Gas'!E44-'Ablesewerte Gas'!D44)</f>
        <v>11282.8999999999</v>
      </c>
      <c r="E40" s="54" t="n">
        <f aca="false">SUM('Ablesewerte Gas'!F44-'Ablesewerte Gas'!E44)</f>
        <v>10987.8000000003</v>
      </c>
      <c r="F40" s="54" t="n">
        <f aca="false">SUM('Ablesewerte Gas'!G44-'Ablesewerte Gas'!F44)</f>
        <v>8104.60000000009</v>
      </c>
      <c r="G40" s="54" t="n">
        <f aca="false">SUM('Ablesewerte Gas'!H44-'Ablesewerte Gas'!G44)</f>
        <v>4972.5</v>
      </c>
      <c r="H40" s="54" t="n">
        <f aca="false">SUM('Ablesewerte Gas'!I44-'Ablesewerte Gas'!H44)</f>
        <v>3155.29999999981</v>
      </c>
      <c r="I40" s="54" t="n">
        <f aca="false">SUM('Ablesewerte Gas'!J44-'Ablesewerte Gas'!I44)</f>
        <v>3726.10000000009</v>
      </c>
      <c r="J40" s="54" t="n">
        <f aca="false">SUM('Ablesewerte Gas'!K44-'Ablesewerte Gas'!J44)</f>
        <v>1535.29999999981</v>
      </c>
      <c r="K40" s="54" t="n">
        <f aca="false">SUM('Ablesewerte Gas'!L44-'Ablesewerte Gas'!K44)</f>
        <v>4631.39999999991</v>
      </c>
      <c r="L40" s="54" t="n">
        <f aca="false">SUM('Ablesewerte Gas'!M44-'Ablesewerte Gas'!L44)</f>
        <v>7240.10000000009</v>
      </c>
      <c r="M40" s="54" t="n">
        <f aca="false">SUM('Ablesewerte Gas'!N44-'Ablesewerte Gas'!M44)</f>
        <v>11207.2000000002</v>
      </c>
      <c r="N40" s="54" t="n">
        <f aca="false">SUM('Ablesewerte Gas'!O44-'Ablesewerte Gas'!N44)</f>
        <v>18293.6999999997</v>
      </c>
      <c r="P40" s="54" t="n">
        <f aca="false">SUM(C40:O40)</f>
        <v>94970.0999999996</v>
      </c>
    </row>
    <row r="41" customFormat="false" ht="12.75" hidden="false" customHeight="false" outlineLevel="0" collapsed="false">
      <c r="A41" s="1" t="s">
        <v>15</v>
      </c>
      <c r="C41" s="54" t="n">
        <f aca="false">SUM('Ablesewerte Gas'!D45-'Ablesewerte Gas'!C45)</f>
        <v>48.1800000000003</v>
      </c>
      <c r="D41" s="54" t="n">
        <f aca="false">SUM('Ablesewerte Gas'!E45-'Ablesewerte Gas'!D45)</f>
        <v>39.5199999999995</v>
      </c>
      <c r="E41" s="54" t="n">
        <f aca="false">SUM('Ablesewerte Gas'!F45-'Ablesewerte Gas'!E45)</f>
        <v>31.6000000000004</v>
      </c>
      <c r="F41" s="54" t="n">
        <f aca="false">SUM('Ablesewerte Gas'!G45-'Ablesewerte Gas'!F45)</f>
        <v>55.1499999999996</v>
      </c>
      <c r="G41" s="54" t="n">
        <f aca="false">SUM('Ablesewerte Gas'!H45-'Ablesewerte Gas'!G45)</f>
        <v>28.1099999999997</v>
      </c>
      <c r="H41" s="54" t="n">
        <f aca="false">SUM('Ablesewerte Gas'!I45-'Ablesewerte Gas'!H45)</f>
        <v>67.7200000000012</v>
      </c>
      <c r="I41" s="54" t="n">
        <f aca="false">SUM('Ablesewerte Gas'!J45-'Ablesewerte Gas'!I45)</f>
        <v>61.9200000000001</v>
      </c>
      <c r="J41" s="54" t="n">
        <f aca="false">SUM('Ablesewerte Gas'!K45-'Ablesewerte Gas'!J45)</f>
        <v>0</v>
      </c>
      <c r="K41" s="54" t="n">
        <f aca="false">SUM('Ablesewerte Gas'!L45-'Ablesewerte Gas'!K45)</f>
        <v>49.5799999999999</v>
      </c>
      <c r="L41" s="54" t="n">
        <f aca="false">SUM('Ablesewerte Gas'!M45-'Ablesewerte Gas'!L45)</f>
        <v>43.7999999999993</v>
      </c>
      <c r="M41" s="54" t="n">
        <f aca="false">SUM('Ablesewerte Gas'!N45-'Ablesewerte Gas'!M45)</f>
        <v>52.3799999999992</v>
      </c>
      <c r="N41" s="54" t="n">
        <f aca="false">SUM('Ablesewerte Gas'!O45-'Ablesewerte Gas'!N45)</f>
        <v>44.5200000000004</v>
      </c>
      <c r="P41" s="54" t="n">
        <f aca="false">SUM(C41:O41)</f>
        <v>522.48</v>
      </c>
    </row>
    <row r="42" customFormat="false" ht="12.75" hidden="false" customHeight="false" outlineLevel="0" collapsed="false">
      <c r="A42" s="1" t="s">
        <v>17</v>
      </c>
      <c r="C42" s="54" t="n">
        <f aca="false">SUM('Ablesewerte Gas'!D46-'Ablesewerte Gas'!C46)</f>
        <v>559.699999999983</v>
      </c>
      <c r="D42" s="54" t="n">
        <f aca="false">SUM('Ablesewerte Gas'!E46-'Ablesewerte Gas'!D46)</f>
        <v>710.899999999994</v>
      </c>
      <c r="E42" s="54" t="n">
        <f aca="false">SUM('Ablesewerte Gas'!F46-'Ablesewerte Gas'!E46)</f>
        <v>560.380000000005</v>
      </c>
      <c r="F42" s="54" t="n">
        <f aca="false">SUM('Ablesewerte Gas'!G46-'Ablesewerte Gas'!F46)</f>
        <v>284.820000000007</v>
      </c>
      <c r="G42" s="54" t="n">
        <f aca="false">SUM('Ablesewerte Gas'!H46-'Ablesewerte Gas'!G46)</f>
        <v>50.5</v>
      </c>
      <c r="H42" s="54" t="n">
        <f aca="false">SUM('Ablesewerte Gas'!I46-'Ablesewerte Gas'!H46)</f>
        <v>0</v>
      </c>
      <c r="I42" s="54" t="n">
        <f aca="false">SUM('Ablesewerte Gas'!J46-'Ablesewerte Gas'!I46)</f>
        <v>0</v>
      </c>
      <c r="J42" s="54" t="n">
        <f aca="false">SUM('Ablesewerte Gas'!K46-'Ablesewerte Gas'!J46)</f>
        <v>0.0799999999871943</v>
      </c>
      <c r="K42" s="54" t="n">
        <f aca="false">SUM('Ablesewerte Gas'!L46-'Ablesewerte Gas'!K46)</f>
        <v>63.7200000000012</v>
      </c>
      <c r="L42" s="54" t="n">
        <f aca="false">SUM('Ablesewerte Gas'!M46-'Ablesewerte Gas'!L46)</f>
        <v>222.600000000006</v>
      </c>
      <c r="M42" s="54" t="n">
        <f aca="false">SUM('Ablesewerte Gas'!N46-'Ablesewerte Gas'!M46)</f>
        <v>607.600000000006</v>
      </c>
      <c r="N42" s="54" t="n">
        <f aca="false">SUM('Ablesewerte Gas'!O46-'Ablesewerte Gas'!N46)</f>
        <v>1090.72</v>
      </c>
      <c r="P42" s="54" t="n">
        <f aca="false">SUM(C42:O42)</f>
        <v>4151.01999999999</v>
      </c>
    </row>
    <row r="46" customFormat="false" ht="15" hidden="false" customHeight="false" outlineLevel="0" collapsed="false">
      <c r="A46" s="2" t="n">
        <v>2017</v>
      </c>
      <c r="B46" s="53" t="s">
        <v>1</v>
      </c>
      <c r="C46" s="55" t="s">
        <v>2</v>
      </c>
      <c r="D46" s="55" t="s">
        <v>3</v>
      </c>
      <c r="E46" s="55" t="s">
        <v>4</v>
      </c>
      <c r="F46" s="55" t="s">
        <v>5</v>
      </c>
      <c r="G46" s="55" t="s">
        <v>6</v>
      </c>
      <c r="H46" s="55" t="s">
        <v>7</v>
      </c>
      <c r="I46" s="55" t="s">
        <v>8</v>
      </c>
      <c r="J46" s="55" t="s">
        <v>9</v>
      </c>
      <c r="K46" s="55" t="s">
        <v>10</v>
      </c>
      <c r="L46" s="55" t="s">
        <v>11</v>
      </c>
      <c r="M46" s="55" t="s">
        <v>12</v>
      </c>
      <c r="N46" s="55" t="s">
        <v>13</v>
      </c>
    </row>
    <row r="48" customFormat="false" ht="12.75" hidden="false" customHeight="false" outlineLevel="0" collapsed="false">
      <c r="A48" s="1" t="s">
        <v>14</v>
      </c>
      <c r="C48" s="54" t="n">
        <f aca="false">SUM('Ablesewerte Gas'!D52-'Ablesewerte Gas'!C52)</f>
        <v>12051.2000000002</v>
      </c>
      <c r="D48" s="54" t="n">
        <f aca="false">SUM('Ablesewerte Gas'!E52-'Ablesewerte Gas'!D52)</f>
        <v>12452.5</v>
      </c>
      <c r="E48" s="54" t="n">
        <f aca="false">SUM('Ablesewerte Gas'!F52-'Ablesewerte Gas'!E52)</f>
        <v>7632.5</v>
      </c>
      <c r="F48" s="54" t="n">
        <f aca="false">SUM('Ablesewerte Gas'!G52-'Ablesewerte Gas'!F52)</f>
        <v>6905.39999999991</v>
      </c>
      <c r="G48" s="54" t="n">
        <f aca="false">SUM('Ablesewerte Gas'!H52-'Ablesewerte Gas'!G52)</f>
        <v>4510.39999999991</v>
      </c>
      <c r="H48" s="54" t="n">
        <f aca="false">SUM('Ablesewerte Gas'!I52-'Ablesewerte Gas'!H52)</f>
        <v>2678.70000000019</v>
      </c>
      <c r="I48" s="54" t="n">
        <f aca="false">SUM('Ablesewerte Gas'!J52-'Ablesewerte Gas'!I52)</f>
        <v>1674.5</v>
      </c>
      <c r="J48" s="54" t="n">
        <f aca="false">SUM('Ablesewerte Gas'!K52-'Ablesewerte Gas'!J52)</f>
        <v>2563.5</v>
      </c>
      <c r="K48" s="54" t="n">
        <f aca="false">SUM('Ablesewerte Gas'!L52-'Ablesewerte Gas'!K52)</f>
        <v>6424.79999999981</v>
      </c>
      <c r="L48" s="54" t="n">
        <f aca="false">SUM('Ablesewerte Gas'!M52-'Ablesewerte Gas'!L52)</f>
        <v>5253.5</v>
      </c>
      <c r="M48" s="54" t="n">
        <f aca="false">SUM('Ablesewerte Gas'!N52-'Ablesewerte Gas'!M52)</f>
        <v>10511.6000000001</v>
      </c>
      <c r="N48" s="54" t="n">
        <f aca="false">SUM('Ablesewerte Gas'!O52-'Ablesewerte Gas'!N52)</f>
        <v>15839.1000000001</v>
      </c>
      <c r="P48" s="54" t="n">
        <f aca="false">SUM(C48:O48)</f>
        <v>88497.7000000002</v>
      </c>
    </row>
    <row r="49" customFormat="false" ht="12.75" hidden="false" customHeight="false" outlineLevel="0" collapsed="false">
      <c r="A49" s="1" t="s">
        <v>15</v>
      </c>
      <c r="C49" s="54" t="n">
        <f aca="false">SUM('Ablesewerte Gas'!D53-'Ablesewerte Gas'!C53)</f>
        <v>35.7000000000007</v>
      </c>
      <c r="D49" s="54" t="n">
        <f aca="false">SUM('Ablesewerte Gas'!E53-'Ablesewerte Gas'!D53)</f>
        <v>46.6999999999989</v>
      </c>
      <c r="E49" s="54" t="n">
        <f aca="false">SUM('Ablesewerte Gas'!F53-'Ablesewerte Gas'!E53)</f>
        <v>48.3000000000011</v>
      </c>
      <c r="F49" s="54" t="n">
        <f aca="false">SUM('Ablesewerte Gas'!G53-'Ablesewerte Gas'!F53)</f>
        <v>26.0699999999997</v>
      </c>
      <c r="G49" s="54" t="n">
        <f aca="false">SUM('Ablesewerte Gas'!H53-'Ablesewerte Gas'!G53)</f>
        <v>45.2299999999996</v>
      </c>
      <c r="H49" s="54" t="n">
        <f aca="false">SUM('Ablesewerte Gas'!I53-'Ablesewerte Gas'!H53)</f>
        <v>35.8900000000012</v>
      </c>
      <c r="I49" s="54" t="n">
        <f aca="false">SUM('Ablesewerte Gas'!J53-'Ablesewerte Gas'!I53)</f>
        <v>17.7099999999991</v>
      </c>
      <c r="J49" s="54" t="n">
        <f aca="false">SUM('Ablesewerte Gas'!K53-'Ablesewerte Gas'!J53)</f>
        <v>23.8999999999996</v>
      </c>
      <c r="K49" s="54" t="n">
        <f aca="false">SUM('Ablesewerte Gas'!L53-'Ablesewerte Gas'!K53)</f>
        <v>54.2299999999996</v>
      </c>
      <c r="L49" s="54" t="n">
        <f aca="false">SUM('Ablesewerte Gas'!M53-'Ablesewerte Gas'!L53)</f>
        <v>43.4900000000016</v>
      </c>
      <c r="M49" s="54" t="n">
        <f aca="false">SUM('Ablesewerte Gas'!N53-'Ablesewerte Gas'!M53)</f>
        <v>46.4799999999996</v>
      </c>
      <c r="N49" s="54" t="n">
        <f aca="false">SUM('Ablesewerte Gas'!O53-'Ablesewerte Gas'!N53)</f>
        <v>47.0799999999999</v>
      </c>
      <c r="P49" s="54" t="n">
        <f aca="false">SUM(C49:O49)</f>
        <v>470.780000000001</v>
      </c>
    </row>
    <row r="50" customFormat="false" ht="12.75" hidden="false" customHeight="false" outlineLevel="0" collapsed="false">
      <c r="A50" s="1" t="s">
        <v>17</v>
      </c>
      <c r="C50" s="54" t="n">
        <f aca="false">SUM('Ablesewerte Gas'!D54-'Ablesewerte Gas'!C54)</f>
        <v>842.480000000011</v>
      </c>
      <c r="D50" s="54" t="n">
        <f aca="false">SUM('Ablesewerte Gas'!E54-'Ablesewerte Gas'!D54)</f>
        <v>721.00999999998</v>
      </c>
      <c r="E50" s="54" t="n">
        <f aca="false">SUM('Ablesewerte Gas'!F54-'Ablesewerte Gas'!E54)</f>
        <v>315.089999999997</v>
      </c>
      <c r="F50" s="54" t="n">
        <f aca="false">SUM('Ablesewerte Gas'!G54-'Ablesewerte Gas'!F54)</f>
        <v>233.400000000023</v>
      </c>
      <c r="G50" s="54" t="n">
        <f aca="false">SUM('Ablesewerte Gas'!H54-'Ablesewerte Gas'!G54)</f>
        <v>81.0999999999767</v>
      </c>
      <c r="H50" s="54" t="n">
        <f aca="false">SUM('Ablesewerte Gas'!I54-'Ablesewerte Gas'!H54)</f>
        <v>0.200000000011642</v>
      </c>
      <c r="I50" s="54" t="n">
        <f aca="false">SUM('Ablesewerte Gas'!J54-'Ablesewerte Gas'!I54)</f>
        <v>0.200000000011642</v>
      </c>
      <c r="J50" s="54" t="n">
        <f aca="false">SUM('Ablesewerte Gas'!K54-'Ablesewerte Gas'!J54)</f>
        <v>0</v>
      </c>
      <c r="K50" s="54" t="n">
        <f aca="false">SUM('Ablesewerte Gas'!L54-'Ablesewerte Gas'!K54)</f>
        <v>93.6999999999825</v>
      </c>
      <c r="L50" s="54" t="n">
        <f aca="false">SUM('Ablesewerte Gas'!M54-'Ablesewerte Gas'!L54)</f>
        <v>241.119999999995</v>
      </c>
      <c r="M50" s="54" t="n">
        <f aca="false">SUM('Ablesewerte Gas'!N54-'Ablesewerte Gas'!M54)</f>
        <v>442.680000000022</v>
      </c>
      <c r="N50" s="54" t="n">
        <f aca="false">SUM('Ablesewerte Gas'!O54-'Ablesewerte Gas'!N54)</f>
        <v>810.399999999994</v>
      </c>
      <c r="P50" s="54" t="n">
        <f aca="false">SUM(C50:O50)</f>
        <v>3781.38</v>
      </c>
    </row>
    <row r="55" customFormat="false" ht="15" hidden="false" customHeight="false" outlineLevel="0" collapsed="false">
      <c r="A55" s="2" t="n">
        <v>2018</v>
      </c>
      <c r="B55" s="53" t="s">
        <v>1</v>
      </c>
      <c r="C55" s="55" t="s">
        <v>2</v>
      </c>
      <c r="D55" s="55" t="s">
        <v>3</v>
      </c>
      <c r="E55" s="55" t="s">
        <v>4</v>
      </c>
      <c r="F55" s="55" t="s">
        <v>5</v>
      </c>
      <c r="G55" s="55" t="s">
        <v>6</v>
      </c>
      <c r="H55" s="55" t="s">
        <v>7</v>
      </c>
      <c r="I55" s="55" t="s">
        <v>8</v>
      </c>
      <c r="J55" s="55" t="s">
        <v>9</v>
      </c>
      <c r="K55" s="55" t="s">
        <v>10</v>
      </c>
      <c r="L55" s="55" t="s">
        <v>11</v>
      </c>
      <c r="M55" s="55" t="s">
        <v>12</v>
      </c>
      <c r="N55" s="55" t="s">
        <v>13</v>
      </c>
    </row>
    <row r="57" customFormat="false" ht="12.75" hidden="false" customHeight="false" outlineLevel="0" collapsed="false">
      <c r="A57" s="1" t="s">
        <v>14</v>
      </c>
      <c r="C57" s="54" t="n">
        <f aca="false">SUM('Ablesewerte Gas'!D60-'Ablesewerte Gas'!C60)</f>
        <v>9592</v>
      </c>
      <c r="D57" s="54" t="n">
        <f aca="false">SUM('Ablesewerte Gas'!E60-'Ablesewerte Gas'!D60)</f>
        <v>13317.2999999998</v>
      </c>
      <c r="E57" s="54" t="n">
        <f aca="false">SUM('Ablesewerte Gas'!F60-'Ablesewerte Gas'!E60)</f>
        <v>11307.3000000003</v>
      </c>
      <c r="F57" s="54" t="n">
        <f aca="false">SUM('Ablesewerte Gas'!G60-'Ablesewerte Gas'!F60)</f>
        <v>3122.69999999972</v>
      </c>
      <c r="G57" s="54" t="n">
        <f aca="false">SUM('Ablesewerte Gas'!H60-'Ablesewerte Gas'!G60)</f>
        <v>3132</v>
      </c>
      <c r="H57" s="54" t="n">
        <f aca="false">SUM('Ablesewerte Gas'!I60-'Ablesewerte Gas'!H60)</f>
        <v>2248.70000000019</v>
      </c>
      <c r="I57" s="54" t="n">
        <f aca="false">SUM('Ablesewerte Gas'!J60-'Ablesewerte Gas'!I60)</f>
        <v>2716.20000000019</v>
      </c>
      <c r="J57" s="54" t="n">
        <f aca="false">SUM('Ablesewerte Gas'!K60-'Ablesewerte Gas'!J60)</f>
        <v>1974.29999999981</v>
      </c>
      <c r="K57" s="54" t="n">
        <f aca="false">SUM('Ablesewerte Gas'!L60-'Ablesewerte Gas'!K60)</f>
        <v>2307.60000000009</v>
      </c>
      <c r="L57" s="54" t="n">
        <f aca="false">SUM('Ablesewerte Gas'!M60-'Ablesewerte Gas'!L60)</f>
        <v>5687.10000000009</v>
      </c>
      <c r="M57" s="54" t="n">
        <f aca="false">SUM('Ablesewerte Gas'!N60-'Ablesewerte Gas'!M60)</f>
        <v>9627.89999999991</v>
      </c>
      <c r="N57" s="54" t="n">
        <f aca="false">SUM('Ablesewerte Gas'!O60-'Ablesewerte Gas'!N60)</f>
        <v>14215.1000000001</v>
      </c>
      <c r="P57" s="54" t="n">
        <f aca="false">SUM(C57:O57)</f>
        <v>79248.2000000002</v>
      </c>
    </row>
    <row r="58" customFormat="false" ht="12.75" hidden="false" customHeight="false" outlineLevel="0" collapsed="false">
      <c r="A58" s="1" t="s">
        <v>15</v>
      </c>
      <c r="C58" s="54" t="n">
        <f aca="false">SUM('Ablesewerte Gas'!D61-'Ablesewerte Gas'!C61)</f>
        <v>43.4799999999996</v>
      </c>
      <c r="D58" s="54" t="n">
        <f aca="false">SUM('Ablesewerte Gas'!E61-'Ablesewerte Gas'!D61)</f>
        <v>27.9099999999999</v>
      </c>
      <c r="E58" s="54" t="n">
        <f aca="false">SUM('Ablesewerte Gas'!F61-'Ablesewerte Gas'!E61)</f>
        <v>40.4300000000003</v>
      </c>
      <c r="F58" s="54" t="n">
        <f aca="false">SUM('Ablesewerte Gas'!G61-'Ablesewerte Gas'!F61)</f>
        <v>38.6000000000004</v>
      </c>
      <c r="G58" s="54" t="n">
        <f aca="false">SUM('Ablesewerte Gas'!H61-'Ablesewerte Gas'!G61)</f>
        <v>36.3999999999996</v>
      </c>
      <c r="H58" s="54" t="n">
        <f aca="false">SUM('Ablesewerte Gas'!I61-'Ablesewerte Gas'!H61)</f>
        <v>62</v>
      </c>
      <c r="I58" s="54" t="n">
        <f aca="false">SUM('Ablesewerte Gas'!J61-'Ablesewerte Gas'!I61)</f>
        <v>23.2199999999993</v>
      </c>
      <c r="J58" s="54" t="n">
        <f aca="false">SUM('Ablesewerte Gas'!K61-'Ablesewerte Gas'!J61)</f>
        <v>0</v>
      </c>
      <c r="K58" s="54" t="n">
        <f aca="false">SUM('Ablesewerte Gas'!L61-'Ablesewerte Gas'!K61)</f>
        <v>51.1700000000001</v>
      </c>
      <c r="L58" s="54" t="n">
        <f aca="false">SUM('Ablesewerte Gas'!M61-'Ablesewerte Gas'!L61)</f>
        <v>42.1000000000004</v>
      </c>
      <c r="M58" s="54" t="n">
        <f aca="false">SUM('Ablesewerte Gas'!N61-'Ablesewerte Gas'!M61)</f>
        <v>46.9099999999999</v>
      </c>
      <c r="N58" s="54" t="n">
        <f aca="false">SUM('Ablesewerte Gas'!O61-'Ablesewerte Gas'!N61)</f>
        <v>32.6000000000004</v>
      </c>
      <c r="P58" s="54" t="n">
        <f aca="false">SUM(C58:O58)</f>
        <v>444.82</v>
      </c>
    </row>
    <row r="59" customFormat="false" ht="12.75" hidden="false" customHeight="false" outlineLevel="0" collapsed="false">
      <c r="A59" s="1" t="s">
        <v>17</v>
      </c>
      <c r="C59" s="54" t="n">
        <f aca="false">SUM('Ablesewerte Gas'!D62-'Ablesewerte Gas'!C62)</f>
        <v>558.5</v>
      </c>
      <c r="D59" s="54" t="n">
        <f aca="false">SUM('Ablesewerte Gas'!E62-'Ablesewerte Gas'!D62)</f>
        <v>949.16</v>
      </c>
      <c r="E59" s="54" t="n">
        <f aca="false">SUM('Ablesewerte Gas'!F62-'Ablesewerte Gas'!E62)</f>
        <v>563.76</v>
      </c>
      <c r="F59" s="54" t="n">
        <f aca="false">SUM('Ablesewerte Gas'!G62-'Ablesewerte Gas'!F62)</f>
        <v>105.1</v>
      </c>
      <c r="G59" s="54" t="n">
        <f aca="false">SUM('Ablesewerte Gas'!H62-'Ablesewerte Gas'!G62)</f>
        <v>21.0799999999999</v>
      </c>
      <c r="H59" s="54" t="n">
        <f aca="false">SUM('Ablesewerte Gas'!I62-'Ablesewerte Gas'!H62)</f>
        <v>0</v>
      </c>
      <c r="I59" s="54" t="n">
        <f aca="false">SUM('Ablesewerte Gas'!J62-'Ablesewerte Gas'!I62)</f>
        <v>0</v>
      </c>
      <c r="J59" s="54" t="n">
        <f aca="false">SUM('Ablesewerte Gas'!K62-'Ablesewerte Gas'!J62)</f>
        <v>0</v>
      </c>
      <c r="K59" s="54" t="n">
        <f aca="false">SUM('Ablesewerte Gas'!L62-'Ablesewerte Gas'!K62)</f>
        <v>18.6999999999998</v>
      </c>
      <c r="L59" s="54" t="n">
        <f aca="false">SUM('Ablesewerte Gas'!M62-'Ablesewerte Gas'!L62)</f>
        <v>130.4</v>
      </c>
      <c r="M59" s="54" t="n">
        <f aca="false">SUM('Ablesewerte Gas'!N62-'Ablesewerte Gas'!M62)</f>
        <v>544.2</v>
      </c>
      <c r="N59" s="54" t="n">
        <f aca="false">SUM('Ablesewerte Gas'!O62-'Ablesewerte Gas'!N62)</f>
        <v>906.06</v>
      </c>
      <c r="P59" s="54" t="n">
        <f aca="false">SUM(C59:O59)</f>
        <v>3796.96</v>
      </c>
    </row>
    <row r="65" customFormat="false" ht="15" hidden="false" customHeight="false" outlineLevel="0" collapsed="false">
      <c r="A65" s="2" t="n">
        <v>2019</v>
      </c>
      <c r="B65" s="53" t="s">
        <v>1</v>
      </c>
      <c r="C65" s="55" t="s">
        <v>2</v>
      </c>
      <c r="D65" s="55" t="s">
        <v>3</v>
      </c>
      <c r="E65" s="55" t="s">
        <v>4</v>
      </c>
      <c r="F65" s="55" t="s">
        <v>5</v>
      </c>
      <c r="G65" s="55" t="s">
        <v>6</v>
      </c>
      <c r="H65" s="55" t="s">
        <v>7</v>
      </c>
      <c r="I65" s="55" t="s">
        <v>8</v>
      </c>
      <c r="J65" s="55" t="s">
        <v>9</v>
      </c>
      <c r="K65" s="55" t="s">
        <v>10</v>
      </c>
      <c r="L65" s="55" t="s">
        <v>11</v>
      </c>
      <c r="M65" s="55" t="s">
        <v>12</v>
      </c>
      <c r="N65" s="55" t="s">
        <v>13</v>
      </c>
    </row>
    <row r="67" customFormat="false" ht="12.75" hidden="false" customHeight="false" outlineLevel="0" collapsed="false">
      <c r="A67" s="1" t="s">
        <v>14</v>
      </c>
      <c r="C67" s="54" t="n">
        <f aca="false">SUM('Ablesewerte Gas'!D68-'Ablesewerte Gas'!C68)</f>
        <v>12076</v>
      </c>
      <c r="D67" s="54" t="n">
        <f aca="false">SUM('Ablesewerte Gas'!E68-'Ablesewerte Gas'!D68)</f>
        <v>11341.1999999997</v>
      </c>
      <c r="E67" s="54" t="n">
        <f aca="false">SUM('Ablesewerte Gas'!F68-'Ablesewerte Gas'!E68)</f>
        <v>9672.80000000028</v>
      </c>
      <c r="F67" s="54" t="n">
        <f aca="false">SUM('Ablesewerte Gas'!G68-'Ablesewerte Gas'!F68)</f>
        <v>6954.09999999963</v>
      </c>
      <c r="G67" s="54" t="n">
        <f aca="false">SUM('Ablesewerte Gas'!H68-'Ablesewerte Gas'!G68)</f>
        <v>6134.70000000019</v>
      </c>
      <c r="H67" s="54" t="n">
        <f aca="false">SUM('Ablesewerte Gas'!I68-'Ablesewerte Gas'!H68)</f>
        <v>2325.20000000019</v>
      </c>
      <c r="I67" s="54" t="n">
        <f aca="false">SUM('Ablesewerte Gas'!J68-'Ablesewerte Gas'!I68)</f>
        <v>3682</v>
      </c>
      <c r="J67" s="54" t="n">
        <f aca="false">SUM('Ablesewerte Gas'!K68-'Ablesewerte Gas'!J68)</f>
        <v>2542.79999999981</v>
      </c>
      <c r="K67" s="54" t="n">
        <f aca="false">SUM('Ablesewerte Gas'!L68-'Ablesewerte Gas'!K68)</f>
        <v>3062.60000000009</v>
      </c>
      <c r="L67" s="54" t="n">
        <f aca="false">SUM('Ablesewerte Gas'!M68-'Ablesewerte Gas'!L68)</f>
        <v>4736.29999999981</v>
      </c>
      <c r="M67" s="54" t="n">
        <f aca="false">SUM('Ablesewerte Gas'!N68-'Ablesewerte Gas'!M68)</f>
        <v>14910.1000000001</v>
      </c>
      <c r="N67" s="54" t="n">
        <f aca="false">SUM('Ablesewerte Gas'!O68-'Ablesewerte Gas'!N68)</f>
        <v>5496.10000000009</v>
      </c>
      <c r="P67" s="54" t="n">
        <f aca="false">SUM(C67:O67)</f>
        <v>82933.8999999999</v>
      </c>
    </row>
    <row r="68" customFormat="false" ht="12.75" hidden="false" customHeight="false" outlineLevel="0" collapsed="false">
      <c r="A68" s="1" t="s">
        <v>15</v>
      </c>
      <c r="C68" s="54" t="n">
        <f aca="false">SUM('Ablesewerte Gas'!D69-'Ablesewerte Gas'!C69)</f>
        <v>41.6200000000008</v>
      </c>
      <c r="D68" s="54" t="n">
        <f aca="false">SUM('Ablesewerte Gas'!E69-'Ablesewerte Gas'!D69)</f>
        <v>48.119999999999</v>
      </c>
      <c r="E68" s="54" t="n">
        <f aca="false">SUM('Ablesewerte Gas'!F69-'Ablesewerte Gas'!E69)</f>
        <v>34.4300000000003</v>
      </c>
      <c r="F68" s="54" t="n">
        <f aca="false">SUM('Ablesewerte Gas'!G69-'Ablesewerte Gas'!F69)</f>
        <v>31.2600000000002</v>
      </c>
      <c r="G68" s="54" t="n">
        <f aca="false">SUM('Ablesewerte Gas'!H69-'Ablesewerte Gas'!G69)</f>
        <v>37.8400000000001</v>
      </c>
      <c r="H68" s="54" t="n">
        <f aca="false">SUM('Ablesewerte Gas'!I69-'Ablesewerte Gas'!H69)</f>
        <v>13.2199999999993</v>
      </c>
      <c r="I68" s="54" t="n">
        <f aca="false">SUM('Ablesewerte Gas'!J69-'Ablesewerte Gas'!I69)</f>
        <v>40.8999999999996</v>
      </c>
      <c r="J68" s="54" t="n">
        <f aca="false">SUM('Ablesewerte Gas'!K69-'Ablesewerte Gas'!J69)</f>
        <v>1.79000000000087</v>
      </c>
      <c r="K68" s="54" t="n">
        <f aca="false">SUM('Ablesewerte Gas'!L69-'Ablesewerte Gas'!K69)</f>
        <v>40.0499999999993</v>
      </c>
      <c r="L68" s="54" t="n">
        <f aca="false">SUM('Ablesewerte Gas'!M69-'Ablesewerte Gas'!L69)</f>
        <v>43.4400000000005</v>
      </c>
      <c r="M68" s="54" t="n">
        <f aca="false">SUM('Ablesewerte Gas'!N69-'Ablesewerte Gas'!M69)</f>
        <v>67.0300000000007</v>
      </c>
      <c r="N68" s="54" t="n">
        <f aca="false">SUM('Ablesewerte Gas'!O69-'Ablesewerte Gas'!N69)</f>
        <v>15.8299999999999</v>
      </c>
      <c r="P68" s="54" t="n">
        <f aca="false">SUM(C68:O68)</f>
        <v>415.530000000001</v>
      </c>
    </row>
    <row r="69" customFormat="false" ht="12.75" hidden="false" customHeight="false" outlineLevel="0" collapsed="false">
      <c r="A69" s="1" t="s">
        <v>17</v>
      </c>
      <c r="C69" s="54" t="n">
        <f aca="false">SUM('Ablesewerte Gas'!D70-'Ablesewerte Gas'!C70)</f>
        <v>793.41</v>
      </c>
      <c r="D69" s="54" t="n">
        <f aca="false">SUM('Ablesewerte Gas'!E70-'Ablesewerte Gas'!D70)</f>
        <v>621.33</v>
      </c>
      <c r="E69" s="54" t="n">
        <f aca="false">SUM('Ablesewerte Gas'!F70-'Ablesewerte Gas'!E70)</f>
        <v>356.7</v>
      </c>
      <c r="F69" s="54" t="n">
        <f aca="false">SUM('Ablesewerte Gas'!G70-'Ablesewerte Gas'!F70)</f>
        <v>158.5</v>
      </c>
      <c r="G69" s="54" t="n">
        <f aca="false">SUM('Ablesewerte Gas'!H70-'Ablesewerte Gas'!G70)</f>
        <v>132.46</v>
      </c>
      <c r="H69" s="54" t="n">
        <f aca="false">SUM('Ablesewerte Gas'!I70-'Ablesewerte Gas'!H70)</f>
        <v>0</v>
      </c>
      <c r="I69" s="54" t="n">
        <f aca="false">SUM('Ablesewerte Gas'!J70-'Ablesewerte Gas'!I70)</f>
        <v>0</v>
      </c>
      <c r="J69" s="54" t="n">
        <f aca="false">SUM('Ablesewerte Gas'!K70-'Ablesewerte Gas'!J70)</f>
        <v>92.8000000000002</v>
      </c>
      <c r="K69" s="54" t="n">
        <f aca="false">SUM('Ablesewerte Gas'!L70-'Ablesewerte Gas'!K70)</f>
        <v>48.7299999999996</v>
      </c>
      <c r="L69" s="54" t="n">
        <f aca="false">SUM('Ablesewerte Gas'!M70-'Ablesewerte Gas'!L70)</f>
        <v>32.8100000000004</v>
      </c>
      <c r="M69" s="54" t="n">
        <f aca="false">SUM('Ablesewerte Gas'!N70-'Ablesewerte Gas'!M70)</f>
        <v>842.41</v>
      </c>
      <c r="N69" s="54" t="n">
        <f aca="false">SUM('Ablesewerte Gas'!O70-'Ablesewerte Gas'!N70)</f>
        <v>263.66</v>
      </c>
      <c r="O69" s="54"/>
      <c r="P69" s="54" t="n">
        <f aca="false">SUM(C69:N69)</f>
        <v>3342.81</v>
      </c>
    </row>
    <row r="70" customFormat="false" ht="12.75" hidden="false" customHeight="false" outlineLevel="0" collapsed="false">
      <c r="G70" s="54" t="n">
        <f aca="false">SUM('Ablesewerte Gas'!H71-'Ablesewerte Gas'!G71)</f>
        <v>0</v>
      </c>
    </row>
    <row r="72" customFormat="false" ht="15" hidden="false" customHeight="false" outlineLevel="0" collapsed="false">
      <c r="A72" s="2" t="n">
        <v>2020</v>
      </c>
      <c r="B72" s="53" t="s">
        <v>1</v>
      </c>
      <c r="C72" s="55" t="s">
        <v>2</v>
      </c>
      <c r="D72" s="55" t="s">
        <v>3</v>
      </c>
      <c r="E72" s="55" t="s">
        <v>4</v>
      </c>
      <c r="F72" s="55" t="s">
        <v>5</v>
      </c>
      <c r="G72" s="55" t="s">
        <v>6</v>
      </c>
      <c r="H72" s="55" t="s">
        <v>7</v>
      </c>
      <c r="I72" s="55" t="s">
        <v>8</v>
      </c>
      <c r="J72" s="55" t="s">
        <v>9</v>
      </c>
      <c r="K72" s="55" t="s">
        <v>10</v>
      </c>
      <c r="L72" s="55" t="s">
        <v>11</v>
      </c>
      <c r="M72" s="55" t="s">
        <v>12</v>
      </c>
      <c r="N72" s="55" t="s">
        <v>13</v>
      </c>
    </row>
    <row r="74" customFormat="false" ht="12.75" hidden="false" customHeight="false" outlineLevel="0" collapsed="false">
      <c r="A74" s="1" t="s">
        <v>14</v>
      </c>
      <c r="C74" s="54" t="n">
        <f aca="false">SUM('Ablesewerte Gas'!D76-'Ablesewerte Gas'!C76)</f>
        <v>18133.1000000001</v>
      </c>
      <c r="D74" s="54" t="n">
        <f aca="false">SUM('Ablesewerte Gas'!E76-'Ablesewerte Gas'!D76)</f>
        <v>9960</v>
      </c>
      <c r="E74" s="54" t="n">
        <f aca="false">SUM('Ablesewerte Gas'!F76-'Ablesewerte Gas'!E76)</f>
        <v>9138.19999999972</v>
      </c>
      <c r="F74" s="54" t="n">
        <f aca="false">SUM('Ablesewerte Gas'!G76-'Ablesewerte Gas'!F76)</f>
        <v>5291.10000000009</v>
      </c>
      <c r="G74" s="54" t="n">
        <f aca="false">SUM('Ablesewerte Gas'!H76-'Ablesewerte Gas'!G76)</f>
        <v>4813.29999999981</v>
      </c>
      <c r="H74" s="54" t="n">
        <f aca="false">SUM('Ablesewerte Gas'!I76-'Ablesewerte Gas'!H76)</f>
        <v>2868.20000000019</v>
      </c>
      <c r="I74" s="54" t="n">
        <f aca="false">SUM('Ablesewerte Gas'!J76-'Ablesewerte Gas'!I76)</f>
        <v>2451.20000000019</v>
      </c>
      <c r="J74" s="54" t="n">
        <f aca="false">SUM('Ablesewerte Gas'!K76-'Ablesewerte Gas'!J76)</f>
        <v>2251.59999999963</v>
      </c>
      <c r="K74" s="54" t="n">
        <f aca="false">SUM('Ablesewerte Gas'!L76-'Ablesewerte Gas'!K76)</f>
        <v>4795.10000000009</v>
      </c>
      <c r="L74" s="54" t="n">
        <f aca="false">SUM('Ablesewerte Gas'!M76-'Ablesewerte Gas'!L76)</f>
        <v>9434.20000000019</v>
      </c>
      <c r="M74" s="54" t="n">
        <f aca="false">SUM('Ablesewerte Gas'!N76-'Ablesewerte Gas'!M76)</f>
        <v>11256.1000000001</v>
      </c>
      <c r="N74" s="54" t="n">
        <f aca="false">SUM('Ablesewerte Gas'!O76-'Ablesewerte Gas'!N76)</f>
        <v>17319.2999999998</v>
      </c>
      <c r="P74" s="54" t="n">
        <f aca="false">SUM(C74:O74)</f>
        <v>97711.3999999999</v>
      </c>
    </row>
    <row r="75" customFormat="false" ht="12.75" hidden="false" customHeight="false" outlineLevel="0" collapsed="false">
      <c r="A75" s="1" t="s">
        <v>15</v>
      </c>
      <c r="C75" s="54" t="n">
        <f aca="false">SUM('Ablesewerte Gas'!D77-'Ablesewerte Gas'!C77)</f>
        <v>51.8799999999992</v>
      </c>
      <c r="D75" s="54" t="n">
        <f aca="false">SUM('Ablesewerte Gas'!E77-'Ablesewerte Gas'!D77)</f>
        <v>28.3099999999995</v>
      </c>
      <c r="E75" s="54" t="n">
        <f aca="false">SUM('Ablesewerte Gas'!F77-'Ablesewerte Gas'!E77)</f>
        <v>28.7100000000009</v>
      </c>
      <c r="F75" s="54" t="n">
        <f aca="false">SUM('Ablesewerte Gas'!G77-'Ablesewerte Gas'!F77)</f>
        <v>0.569999999999709</v>
      </c>
      <c r="G75" s="54" t="n">
        <f aca="false">SUM('Ablesewerte Gas'!H77-'Ablesewerte Gas'!G77)</f>
        <v>14</v>
      </c>
      <c r="H75" s="54" t="n">
        <f aca="false">SUM('Ablesewerte Gas'!I77-'Ablesewerte Gas'!H77)</f>
        <v>0.670000000000073</v>
      </c>
      <c r="I75" s="54" t="n">
        <f aca="false">SUM('Ablesewerte Gas'!J77-'Ablesewerte Gas'!I77)</f>
        <v>0.940000000000509</v>
      </c>
      <c r="J75" s="54" t="n">
        <f aca="false">SUM('Ablesewerte Gas'!K77-'Ablesewerte Gas'!J77)</f>
        <v>0.0100000000002183</v>
      </c>
      <c r="K75" s="54" t="n">
        <f aca="false">SUM('Ablesewerte Gas'!L77-'Ablesewerte Gas'!K77)</f>
        <v>46.6899999999987</v>
      </c>
      <c r="L75" s="54" t="n">
        <f aca="false">SUM('Ablesewerte Gas'!M77-'Ablesewerte Gas'!L77)</f>
        <v>43.6800000000003</v>
      </c>
      <c r="M75" s="54" t="n">
        <f aca="false">SUM('Ablesewerte Gas'!N77-'Ablesewerte Gas'!M77)</f>
        <v>69.4200000000001</v>
      </c>
      <c r="N75" s="54" t="n">
        <f aca="false">SUM('Ablesewerte Gas'!O77-'Ablesewerte Gas'!N77)</f>
        <v>29.9400000000005</v>
      </c>
      <c r="P75" s="54" t="n">
        <f aca="false">SUM(C75:O75)</f>
        <v>314.82</v>
      </c>
    </row>
    <row r="76" customFormat="false" ht="12.75" hidden="false" customHeight="false" outlineLevel="0" collapsed="false">
      <c r="A76" s="1" t="s">
        <v>17</v>
      </c>
      <c r="C76" s="54" t="n">
        <f aca="false">SUM('Ablesewerte Gas'!D78-'Ablesewerte Gas'!C78)</f>
        <v>862.75</v>
      </c>
      <c r="D76" s="54" t="n">
        <f aca="false">SUM('Ablesewerte Gas'!E78-'Ablesewerte Gas'!D78)</f>
        <v>557.66</v>
      </c>
      <c r="E76" s="54" t="n">
        <f aca="false">SUM('Ablesewerte Gas'!F78-'Ablesewerte Gas'!E78)</f>
        <v>249.52</v>
      </c>
      <c r="F76" s="54" t="n">
        <f aca="false">SUM('Ablesewerte Gas'!G78-'Ablesewerte Gas'!F78)</f>
        <v>0.190000000000509</v>
      </c>
      <c r="G76" s="54" t="n">
        <f aca="false">SUM('Ablesewerte Gas'!H78-'Ablesewerte Gas'!G78)</f>
        <v>50.8099999999995</v>
      </c>
      <c r="H76" s="54" t="n">
        <f aca="false">SUM('Ablesewerte Gas'!I78-'Ablesewerte Gas'!H78)</f>
        <v>0.3799999999992</v>
      </c>
      <c r="I76" s="54" t="n">
        <f aca="false">SUM('Ablesewerte Gas'!J78-'Ablesewerte Gas'!I78)</f>
        <v>0</v>
      </c>
      <c r="J76" s="54" t="n">
        <f aca="false">SUM('Ablesewerte Gas'!K78-'Ablesewerte Gas'!J78)</f>
        <v>0</v>
      </c>
      <c r="K76" s="54" t="n">
        <f aca="false">SUM('Ablesewerte Gas'!L78-'Ablesewerte Gas'!K78)</f>
        <v>52.2200000000012</v>
      </c>
      <c r="L76" s="54" t="n">
        <f aca="false">SUM('Ablesewerte Gas'!M78-'Ablesewerte Gas'!L78)</f>
        <v>222.299999999999</v>
      </c>
      <c r="M76" s="54" t="n">
        <f aca="false">SUM('Ablesewerte Gas'!N78-'Ablesewerte Gas'!M78)</f>
        <v>584.790000000001</v>
      </c>
      <c r="N76" s="54" t="n">
        <f aca="false">SUM('Ablesewerte Gas'!O78-'Ablesewerte Gas'!N78)</f>
        <v>849.65</v>
      </c>
      <c r="O76" s="54"/>
      <c r="P76" s="54" t="n">
        <f aca="false">SUM(C76:N76)</f>
        <v>3430.27</v>
      </c>
    </row>
    <row r="77" customFormat="false" ht="12.75" hidden="false" customHeight="false" outlineLevel="0" collapsed="false">
      <c r="G77" s="54" t="n">
        <f aca="false">SUM('Ablesewerte Gas'!H79-'Ablesewerte Gas'!G79)</f>
        <v>0</v>
      </c>
    </row>
    <row r="79" customFormat="false" ht="15" hidden="false" customHeight="false" outlineLevel="0" collapsed="false">
      <c r="A79" s="2" t="n">
        <v>2021</v>
      </c>
      <c r="B79" s="53" t="s">
        <v>1</v>
      </c>
      <c r="C79" s="55" t="s">
        <v>2</v>
      </c>
      <c r="D79" s="55" t="s">
        <v>3</v>
      </c>
      <c r="E79" s="55" t="s">
        <v>4</v>
      </c>
      <c r="F79" s="55" t="s">
        <v>5</v>
      </c>
      <c r="G79" s="55" t="s">
        <v>6</v>
      </c>
      <c r="H79" s="55" t="s">
        <v>7</v>
      </c>
      <c r="I79" s="55" t="s">
        <v>8</v>
      </c>
      <c r="J79" s="55" t="s">
        <v>9</v>
      </c>
      <c r="K79" s="55" t="s">
        <v>10</v>
      </c>
      <c r="L79" s="55" t="s">
        <v>11</v>
      </c>
      <c r="M79" s="55" t="s">
        <v>12</v>
      </c>
      <c r="N79" s="55" t="s">
        <v>13</v>
      </c>
    </row>
    <row r="81" customFormat="false" ht="12.75" hidden="false" customHeight="false" outlineLevel="0" collapsed="false">
      <c r="A81" s="1" t="s">
        <v>14</v>
      </c>
      <c r="C81" s="54" t="n">
        <f aca="false">SUM('Ablesewerte Gas'!D84-'Ablesewerte Gas'!C84)</f>
        <v>12007.2999999998</v>
      </c>
      <c r="D81" s="54" t="n">
        <f aca="false">SUM('Ablesewerte Gas'!E84-'Ablesewerte Gas'!D84)</f>
        <v>12683.2000000002</v>
      </c>
      <c r="E81" s="54" t="n">
        <f aca="false">SUM('Ablesewerte Gas'!F84-'Ablesewerte Gas'!E84)</f>
        <v>12232</v>
      </c>
      <c r="F81" s="54" t="n">
        <f aca="false">SUM('Ablesewerte Gas'!G84-'Ablesewerte Gas'!F84)</f>
        <v>7246.89999999991</v>
      </c>
      <c r="G81" s="54" t="n">
        <f aca="false">SUM('Ablesewerte Gas'!H84-'Ablesewerte Gas'!G84)</f>
        <v>7730.5</v>
      </c>
      <c r="H81" s="54" t="n">
        <f aca="false">SUM('Ablesewerte Gas'!I84-'Ablesewerte Gas'!H84)</f>
        <v>3621.89999999991</v>
      </c>
      <c r="I81" s="54" t="n">
        <f aca="false">SUM('Ablesewerte Gas'!J84-'Ablesewerte Gas'!I84)</f>
        <v>2754.5</v>
      </c>
      <c r="J81" s="54" t="n">
        <f aca="false">SUM('Ablesewerte Gas'!K84-'Ablesewerte Gas'!J84)</f>
        <v>4321.10000000009</v>
      </c>
      <c r="K81" s="54" t="n">
        <f aca="false">SUM('Ablesewerte Gas'!L84-'Ablesewerte Gas'!K84)</f>
        <v>5332.20000000019</v>
      </c>
      <c r="L81" s="54" t="n">
        <f aca="false">SUM('Ablesewerte Gas'!M84-'Ablesewerte Gas'!L84)</f>
        <v>9436.29999999981</v>
      </c>
      <c r="M81" s="54" t="n">
        <f aca="false">SUM('Ablesewerte Gas'!N84-'Ablesewerte Gas'!M84)</f>
        <v>14603.1000000001</v>
      </c>
      <c r="N81" s="54" t="n">
        <f aca="false">SUM('Ablesewerte Gas'!O84-'Ablesewerte Gas'!N84)</f>
        <v>9574</v>
      </c>
      <c r="P81" s="54" t="n">
        <f aca="false">SUM(C81:O81)</f>
        <v>101543</v>
      </c>
    </row>
    <row r="82" customFormat="false" ht="12.75" hidden="false" customHeight="false" outlineLevel="0" collapsed="false">
      <c r="A82" s="1" t="s">
        <v>15</v>
      </c>
      <c r="C82" s="54" t="n">
        <f aca="false">SUM('Ablesewerte Gas'!D85-'Ablesewerte Gas'!C85)</f>
        <v>0.709999999999127</v>
      </c>
      <c r="D82" s="54" t="n">
        <f aca="false">SUM('Ablesewerte Gas'!E85-'Ablesewerte Gas'!D85)</f>
        <v>11.0900000000001</v>
      </c>
      <c r="E82" s="54" t="n">
        <f aca="false">SUM('Ablesewerte Gas'!F85-'Ablesewerte Gas'!E85)</f>
        <v>27.1700000000001</v>
      </c>
      <c r="F82" s="54" t="n">
        <f aca="false">SUM('Ablesewerte Gas'!G85-'Ablesewerte Gas'!F85)</f>
        <v>22.9700000000012</v>
      </c>
      <c r="G82" s="54" t="n">
        <f aca="false">SUM('Ablesewerte Gas'!H85-'Ablesewerte Gas'!G85)</f>
        <v>25.619999999999</v>
      </c>
      <c r="H82" s="54" t="n">
        <f aca="false">SUM('Ablesewerte Gas'!I85-'Ablesewerte Gas'!H85)</f>
        <v>50.1599999999999</v>
      </c>
      <c r="I82" s="54" t="n">
        <f aca="false">SUM('Ablesewerte Gas'!J85-'Ablesewerte Gas'!I85)</f>
        <v>42.0699999999997</v>
      </c>
      <c r="J82" s="54" t="n">
        <f aca="false">SUM('Ablesewerte Gas'!K85-'Ablesewerte Gas'!J85)</f>
        <v>0</v>
      </c>
      <c r="K82" s="54" t="n">
        <f aca="false">SUM('Ablesewerte Gas'!L85-'Ablesewerte Gas'!K85)</f>
        <v>38.4800000000014</v>
      </c>
      <c r="L82" s="54" t="n">
        <f aca="false">SUM('Ablesewerte Gas'!M85-'Ablesewerte Gas'!L85)</f>
        <v>55.0799999999999</v>
      </c>
      <c r="M82" s="54" t="n">
        <f aca="false">SUM('Ablesewerte Gas'!N85-'Ablesewerte Gas'!M85)</f>
        <v>51.0999999999985</v>
      </c>
      <c r="N82" s="54" t="n">
        <f aca="false">SUM('Ablesewerte Gas'!O85-'Ablesewerte Gas'!N85)</f>
        <v>36.1900000000005</v>
      </c>
      <c r="P82" s="54" t="n">
        <f aca="false">SUM(C82:O82)</f>
        <v>360.639999999999</v>
      </c>
    </row>
    <row r="83" customFormat="false" ht="12.75" hidden="false" customHeight="false" outlineLevel="0" collapsed="false">
      <c r="A83" s="1" t="s">
        <v>20</v>
      </c>
      <c r="C83" s="54" t="n">
        <f aca="false">SUM('Ablesewerte Gas'!D86-'Ablesewerte Gas'!C86)</f>
        <v>642.860000000001</v>
      </c>
      <c r="D83" s="54" t="n">
        <f aca="false">SUM('Ablesewerte Gas'!E86-'Ablesewerte Gas'!D86)</f>
        <v>569.099999999999</v>
      </c>
      <c r="E83" s="54" t="n">
        <f aca="false">SUM('Ablesewerte Gas'!F86-'Ablesewerte Gas'!E86)</f>
        <v>512.320000000002</v>
      </c>
      <c r="F83" s="54" t="n">
        <f aca="false">SUM('Ablesewerte Gas'!G86-'Ablesewerte Gas'!F86)</f>
        <v>272.9</v>
      </c>
      <c r="G83" s="54" t="n">
        <f aca="false">SUM('Ablesewerte Gas'!H86-'Ablesewerte Gas'!G86)</f>
        <v>136.81</v>
      </c>
      <c r="H83" s="54" t="n">
        <f aca="false">SUM('Ablesewerte Gas'!I86-'Ablesewerte Gas'!H86)</f>
        <v>0.710000000000946</v>
      </c>
      <c r="I83" s="54" t="n">
        <f aca="false">SUM('Ablesewerte Gas'!J86-'Ablesewerte Gas'!I86)</f>
        <v>0</v>
      </c>
      <c r="J83" s="54" t="n">
        <f aca="false">SUM('Ablesewerte Gas'!K86-'Ablesewerte Gas'!J86)</f>
        <v>0</v>
      </c>
      <c r="K83" s="54" t="n">
        <f aca="false">SUM('Ablesewerte Gas'!L86-'Ablesewerte Gas'!K86)</f>
        <v>48.4799999999996</v>
      </c>
      <c r="L83" s="54" t="n">
        <f aca="false">SUM('Ablesewerte Gas'!M86-'Ablesewerte Gas'!L86)</f>
        <v>267.08</v>
      </c>
      <c r="M83" s="54" t="n">
        <f aca="false">SUM('Ablesewerte Gas'!N86-'Ablesewerte Gas'!M86)</f>
        <v>637.32</v>
      </c>
      <c r="N83" s="54" t="n">
        <f aca="false">SUM('Ablesewerte Gas'!O86-'Ablesewerte Gas'!N86)</f>
        <v>522.68</v>
      </c>
      <c r="O83" s="54"/>
      <c r="P83" s="54" t="n">
        <f aca="false">SUM(C83:N83)</f>
        <v>3610.26</v>
      </c>
    </row>
    <row r="87" customFormat="false" ht="15" hidden="false" customHeight="false" outlineLevel="0" collapsed="false">
      <c r="A87" s="2" t="n">
        <v>2022</v>
      </c>
      <c r="B87" s="53" t="s">
        <v>1</v>
      </c>
      <c r="C87" s="55" t="s">
        <v>2</v>
      </c>
      <c r="D87" s="55" t="s">
        <v>3</v>
      </c>
      <c r="E87" s="55" t="s">
        <v>4</v>
      </c>
      <c r="F87" s="55" t="s">
        <v>5</v>
      </c>
      <c r="G87" s="55" t="s">
        <v>6</v>
      </c>
      <c r="H87" s="55" t="s">
        <v>7</v>
      </c>
      <c r="I87" s="55" t="s">
        <v>8</v>
      </c>
      <c r="J87" s="55" t="s">
        <v>9</v>
      </c>
      <c r="K87" s="55" t="s">
        <v>10</v>
      </c>
      <c r="L87" s="55" t="s">
        <v>11</v>
      </c>
      <c r="M87" s="55" t="s">
        <v>12</v>
      </c>
      <c r="N87" s="55" t="s">
        <v>13</v>
      </c>
    </row>
    <row r="89" customFormat="false" ht="12.75" hidden="false" customHeight="false" outlineLevel="0" collapsed="false">
      <c r="A89" s="1" t="s">
        <v>14</v>
      </c>
      <c r="C89" s="54" t="n">
        <f aca="false">SUM('Ablesewerte Gas'!D91-'Ablesewerte Gas'!C91)</f>
        <v>10475.8999999999</v>
      </c>
      <c r="D89" s="54" t="n">
        <f aca="false">SUM('Ablesewerte Gas'!E91-'Ablesewerte Gas'!D91)</f>
        <v>10137.6000000001</v>
      </c>
      <c r="E89" s="54" t="n">
        <f aca="false">SUM('Ablesewerte Gas'!F91-'Ablesewerte Gas'!E91)</f>
        <v>12012</v>
      </c>
      <c r="F89" s="54" t="n">
        <f aca="false">SUM('Ablesewerte Gas'!G91-'Ablesewerte Gas'!F91)</f>
        <v>6670.5</v>
      </c>
      <c r="G89" s="54" t="n">
        <f aca="false">SUM('Ablesewerte Gas'!H91-'Ablesewerte Gas'!G91)</f>
        <v>3966.5</v>
      </c>
      <c r="H89" s="54" t="n">
        <f aca="false">SUM('Ablesewerte Gas'!I91-'Ablesewerte Gas'!H91)</f>
        <v>2950.29999999981</v>
      </c>
      <c r="I89" s="54" t="n">
        <f aca="false">SUM('Ablesewerte Gas'!J91-'Ablesewerte Gas'!I91)</f>
        <v>2525.5</v>
      </c>
      <c r="J89" s="54" t="n">
        <f aca="false">SUM('Ablesewerte Gas'!K91-'Ablesewerte Gas'!J91)</f>
        <v>2467.40000000037</v>
      </c>
      <c r="K89" s="54" t="n">
        <f aca="false">SUM('Ablesewerte Gas'!L91-'Ablesewerte Gas'!K91)</f>
        <v>5390.29999999981</v>
      </c>
      <c r="L89" s="54" t="n">
        <f aca="false">SUM('Ablesewerte Gas'!M91-'Ablesewerte Gas'!L91)</f>
        <v>4167</v>
      </c>
      <c r="M89" s="54" t="n">
        <f aca="false">SUM('Ablesewerte Gas'!N91-'Ablesewerte Gas'!M91)</f>
        <v>8770</v>
      </c>
      <c r="N89" s="54" t="n">
        <f aca="false">SUM('Ablesewerte Gas'!O91-'Ablesewerte Gas'!N91)</f>
        <v>8949</v>
      </c>
      <c r="P89" s="54" t="n">
        <f aca="false">SUM(C89:O89)</f>
        <v>78482</v>
      </c>
    </row>
    <row r="90" customFormat="false" ht="12.75" hidden="false" customHeight="false" outlineLevel="0" collapsed="false">
      <c r="A90" s="1" t="s">
        <v>15</v>
      </c>
      <c r="C90" s="54" t="n">
        <f aca="false">SUM('Ablesewerte Gas'!D92-'Ablesewerte Gas'!C92)</f>
        <v>33.8999999999996</v>
      </c>
      <c r="D90" s="54" t="n">
        <f aca="false">SUM('Ablesewerte Gas'!E92-'Ablesewerte Gas'!D92)</f>
        <v>37.0200000000004</v>
      </c>
      <c r="E90" s="54" t="n">
        <f aca="false">SUM('Ablesewerte Gas'!F92-'Ablesewerte Gas'!E92)</f>
        <v>54.7000000000007</v>
      </c>
      <c r="F90" s="54" t="n">
        <f aca="false">SUM('Ablesewerte Gas'!G92-'Ablesewerte Gas'!F92)</f>
        <v>28.3799999999992</v>
      </c>
      <c r="G90" s="54" t="n">
        <f aca="false">SUM('Ablesewerte Gas'!H92-'Ablesewerte Gas'!G92)</f>
        <v>52</v>
      </c>
      <c r="H90" s="54" t="n">
        <f aca="false">SUM('Ablesewerte Gas'!I92-'Ablesewerte Gas'!H92)</f>
        <v>37</v>
      </c>
      <c r="I90" s="54" t="n">
        <f aca="false">SUM('Ablesewerte Gas'!J92-'Ablesewerte Gas'!I92)</f>
        <v>28.2000000000007</v>
      </c>
      <c r="J90" s="54" t="n">
        <f aca="false">SUM('Ablesewerte Gas'!K92-'Ablesewerte Gas'!J92)</f>
        <v>15.6700000000001</v>
      </c>
      <c r="K90" s="54" t="n">
        <f aca="false">SUM('Ablesewerte Gas'!L92-'Ablesewerte Gas'!K92)</f>
        <v>39.1299999999992</v>
      </c>
      <c r="L90" s="54" t="n">
        <f aca="false">SUM('Ablesewerte Gas'!M92-'Ablesewerte Gas'!L92)</f>
        <v>49</v>
      </c>
      <c r="M90" s="54" t="n">
        <f aca="false">SUM('Ablesewerte Gas'!N92-'Ablesewerte Gas'!M92)</f>
        <v>44</v>
      </c>
      <c r="N90" s="54" t="n">
        <f aca="false">SUM('Ablesewerte Gas'!O92-'Ablesewerte Gas'!N92)</f>
        <v>38</v>
      </c>
      <c r="P90" s="54" t="n">
        <f aca="false">SUM(C90:O90)</f>
        <v>457</v>
      </c>
    </row>
    <row r="91" customFormat="false" ht="12.75" hidden="false" customHeight="false" outlineLevel="0" collapsed="false">
      <c r="A91" s="1" t="s">
        <v>20</v>
      </c>
      <c r="C91" s="54" t="n">
        <f aca="false">SUM('Ablesewerte Gas'!D93-'Ablesewerte Gas'!C93)</f>
        <v>628.919999999998</v>
      </c>
      <c r="D91" s="54" t="n">
        <f aca="false">SUM('Ablesewerte Gas'!E93-'Ablesewerte Gas'!D93)</f>
        <v>457.380000000001</v>
      </c>
      <c r="E91" s="54" t="n">
        <f aca="false">SUM('Ablesewerte Gas'!F93-'Ablesewerte Gas'!E93)</f>
        <v>580.5</v>
      </c>
      <c r="F91" s="54" t="n">
        <f aca="false">SUM('Ablesewerte Gas'!G93-'Ablesewerte Gas'!F93)</f>
        <v>212.200000000001</v>
      </c>
      <c r="G91" s="54" t="n">
        <f aca="false">SUM('Ablesewerte Gas'!H93-'Ablesewerte Gas'!G93)</f>
        <v>27</v>
      </c>
      <c r="H91" s="54" t="n">
        <f aca="false">SUM('Ablesewerte Gas'!I93-'Ablesewerte Gas'!H93)</f>
        <v>0.0999999999985448</v>
      </c>
      <c r="I91" s="54" t="n">
        <f aca="false">SUM('Ablesewerte Gas'!J93-'Ablesewerte Gas'!I93)</f>
        <v>0.0300000000024738</v>
      </c>
      <c r="J91" s="54" t="n">
        <f aca="false">SUM('Ablesewerte Gas'!K93-'Ablesewerte Gas'!J93)</f>
        <v>0.00999999999839929</v>
      </c>
      <c r="K91" s="54" t="n">
        <f aca="false">SUM('Ablesewerte Gas'!L93-'Ablesewerte Gas'!K93)</f>
        <v>71.8600000000006</v>
      </c>
      <c r="L91" s="54" t="n">
        <f aca="false">SUM('Ablesewerte Gas'!M93-'Ablesewerte Gas'!L93)</f>
        <v>92</v>
      </c>
      <c r="M91" s="54" t="n">
        <f aca="false">SUM('Ablesewerte Gas'!N93-'Ablesewerte Gas'!M93)</f>
        <v>355</v>
      </c>
      <c r="N91" s="54" t="n">
        <f aca="false">SUM('Ablesewerte Gas'!O93-'Ablesewerte Gas'!N93)</f>
        <v>634</v>
      </c>
      <c r="O91" s="54"/>
      <c r="P91" s="54" t="n">
        <f aca="false">SUM(C91:N91)</f>
        <v>3059</v>
      </c>
    </row>
    <row r="95" customFormat="false" ht="15" hidden="false" customHeight="false" outlineLevel="0" collapsed="false">
      <c r="A95" s="2" t="n">
        <v>2023</v>
      </c>
      <c r="B95" s="53" t="s">
        <v>1</v>
      </c>
      <c r="C95" s="55" t="s">
        <v>2</v>
      </c>
      <c r="D95" s="55" t="s">
        <v>3</v>
      </c>
      <c r="E95" s="55" t="s">
        <v>4</v>
      </c>
      <c r="F95" s="55" t="s">
        <v>5</v>
      </c>
      <c r="G95" s="55" t="s">
        <v>6</v>
      </c>
      <c r="H95" s="55" t="s">
        <v>7</v>
      </c>
      <c r="I95" s="55" t="s">
        <v>8</v>
      </c>
      <c r="J95" s="55" t="s">
        <v>9</v>
      </c>
      <c r="K95" s="55" t="s">
        <v>10</v>
      </c>
      <c r="L95" s="55" t="s">
        <v>11</v>
      </c>
      <c r="M95" s="55" t="s">
        <v>12</v>
      </c>
      <c r="N95" s="55" t="s">
        <v>13</v>
      </c>
    </row>
    <row r="97" customFormat="false" ht="12.75" hidden="false" customHeight="false" outlineLevel="0" collapsed="false">
      <c r="A97" s="1" t="s">
        <v>14</v>
      </c>
      <c r="C97" s="54" t="n">
        <f aca="false">SUM('Ablesewerte Gas'!D98-'Ablesewerte Gas'!C98)</f>
        <v>14251</v>
      </c>
      <c r="D97" s="54" t="n">
        <f aca="false">SUM('Ablesewerte Gas'!E98-'Ablesewerte Gas'!D98)</f>
        <v>10991</v>
      </c>
      <c r="E97" s="54" t="n">
        <f aca="false">SUM('Ablesewerte Gas'!F98-'Ablesewerte Gas'!E98)</f>
        <v>8853</v>
      </c>
      <c r="F97" s="54" t="n">
        <f aca="false">SUM('Ablesewerte Gas'!G98-'Ablesewerte Gas'!F98)</f>
        <v>5532</v>
      </c>
      <c r="G97" s="54" t="n">
        <f aca="false">SUM('Ablesewerte Gas'!H98-'Ablesewerte Gas'!G98)</f>
        <v>3363</v>
      </c>
      <c r="H97" s="54" t="n">
        <f aca="false">SUM('Ablesewerte Gas'!I98-'Ablesewerte Gas'!H98)</f>
        <v>2572</v>
      </c>
      <c r="I97" s="54" t="n">
        <f aca="false">SUM('Ablesewerte Gas'!J98-'Ablesewerte Gas'!I98)</f>
        <v>1935</v>
      </c>
      <c r="J97" s="54" t="n">
        <f aca="false">SUM('Ablesewerte Gas'!K98-'Ablesewerte Gas'!J98)</f>
        <v>2296</v>
      </c>
      <c r="K97" s="54" t="n">
        <f aca="false">SUM('Ablesewerte Gas'!L98-'Ablesewerte Gas'!K98)</f>
        <v>2874</v>
      </c>
      <c r="L97" s="54" t="n">
        <f aca="false">SUM('Ablesewerte Gas'!M98-'Ablesewerte Gas'!L98)</f>
        <v>6324</v>
      </c>
      <c r="M97" s="54" t="n">
        <f aca="false">SUM('Ablesewerte Gas'!N98-'Ablesewerte Gas'!M98)</f>
        <v>9268</v>
      </c>
      <c r="N97" s="54" t="n">
        <f aca="false">SUM('Ablesewerte Gas'!O98-'Ablesewerte Gas'!N98)</f>
        <v>13474</v>
      </c>
      <c r="P97" s="54" t="n">
        <f aca="false">SUM(C97:O97)</f>
        <v>81733</v>
      </c>
    </row>
    <row r="98" customFormat="false" ht="12.75" hidden="false" customHeight="false" outlineLevel="0" collapsed="false">
      <c r="A98" s="1" t="s">
        <v>15</v>
      </c>
      <c r="C98" s="54" t="n">
        <f aca="false">SUM('Ablesewerte Gas'!D99-'Ablesewerte Gas'!C99)</f>
        <v>50</v>
      </c>
      <c r="D98" s="54" t="n">
        <f aca="false">SUM('Ablesewerte Gas'!E99-'Ablesewerte Gas'!D99)</f>
        <v>32</v>
      </c>
      <c r="E98" s="54" t="n">
        <f aca="false">SUM('Ablesewerte Gas'!F99-'Ablesewerte Gas'!E99)</f>
        <v>36</v>
      </c>
      <c r="F98" s="54" t="n">
        <f aca="false">SUM('Ablesewerte Gas'!G99-'Ablesewerte Gas'!F99)</f>
        <v>21</v>
      </c>
      <c r="G98" s="54" t="n">
        <f aca="false">SUM('Ablesewerte Gas'!H99-'Ablesewerte Gas'!G99)</f>
        <v>25.4699999999993</v>
      </c>
      <c r="H98" s="54" t="n">
        <f aca="false">SUM('Ablesewerte Gas'!I99-'Ablesewerte Gas'!H99)</f>
        <v>21.8299999999999</v>
      </c>
      <c r="I98" s="54" t="n">
        <f aca="false">SUM('Ablesewerte Gas'!J99-'Ablesewerte Gas'!I99)</f>
        <v>17.7000000000007</v>
      </c>
      <c r="J98" s="54" t="n">
        <f aca="false">SUM('Ablesewerte Gas'!K99-'Ablesewerte Gas'!J99)</f>
        <v>0</v>
      </c>
      <c r="K98" s="54" t="n">
        <f aca="false">SUM('Ablesewerte Gas'!L99-'Ablesewerte Gas'!K99)</f>
        <v>1</v>
      </c>
      <c r="L98" s="54" t="n">
        <f aca="false">SUM('Ablesewerte Gas'!M99-'Ablesewerte Gas'!L99)</f>
        <v>0</v>
      </c>
      <c r="M98" s="54" t="n">
        <f aca="false">SUM('Ablesewerte Gas'!N99-'Ablesewerte Gas'!M99)</f>
        <v>0</v>
      </c>
      <c r="N98" s="54" t="n">
        <f aca="false">SUM('Ablesewerte Gas'!O99-'Ablesewerte Gas'!N99)</f>
        <v>1.39999999999964</v>
      </c>
      <c r="P98" s="54" t="n">
        <f aca="false">SUM(C98:O98)</f>
        <v>206.4</v>
      </c>
    </row>
    <row r="99" customFormat="false" ht="12.75" hidden="false" customHeight="false" outlineLevel="0" collapsed="false">
      <c r="A99" s="1" t="s">
        <v>20</v>
      </c>
      <c r="C99" s="54" t="n">
        <f aca="false">SUM('Ablesewerte Gas'!D100-'Ablesewerte Gas'!C100)</f>
        <v>831</v>
      </c>
      <c r="D99" s="54" t="n">
        <f aca="false">SUM('Ablesewerte Gas'!E100-'Ablesewerte Gas'!D100)</f>
        <v>665</v>
      </c>
      <c r="E99" s="54" t="n">
        <f aca="false">SUM('Ablesewerte Gas'!F100-'Ablesewerte Gas'!E100)</f>
        <v>386</v>
      </c>
      <c r="F99" s="54" t="n">
        <f aca="false">SUM('Ablesewerte Gas'!G100-'Ablesewerte Gas'!F100)</f>
        <v>253</v>
      </c>
      <c r="G99" s="54" t="n">
        <f aca="false">SUM('Ablesewerte Gas'!H100-'Ablesewerte Gas'!G100)</f>
        <v>61</v>
      </c>
      <c r="H99" s="54" t="n">
        <f aca="false">SUM('Ablesewerte Gas'!I100-'Ablesewerte Gas'!H100)</f>
        <v>0</v>
      </c>
      <c r="I99" s="54" t="n">
        <f aca="false">SUM('Ablesewerte Gas'!J100-'Ablesewerte Gas'!I100)</f>
        <v>1</v>
      </c>
      <c r="J99" s="54" t="n">
        <f aca="false">SUM('Ablesewerte Gas'!K100-'Ablesewerte Gas'!J100)</f>
        <v>0</v>
      </c>
      <c r="K99" s="54" t="n">
        <f aca="false">SUM('Ablesewerte Gas'!L100-'Ablesewerte Gas'!K100)</f>
        <v>26</v>
      </c>
      <c r="L99" s="54" t="n">
        <f aca="false">SUM('Ablesewerte Gas'!M100-'Ablesewerte Gas'!L100)</f>
        <v>198</v>
      </c>
      <c r="M99" s="54" t="n">
        <f aca="false">SUM('Ablesewerte Gas'!N100-'Ablesewerte Gas'!M100)</f>
        <v>553</v>
      </c>
      <c r="N99" s="54" t="n">
        <f aca="false">SUM('Ablesewerte Gas'!O100-'Ablesewerte Gas'!N100)</f>
        <v>660.799999999999</v>
      </c>
      <c r="O99" s="54"/>
      <c r="P99" s="54" t="n">
        <f aca="false">SUM(C99:N99)</f>
        <v>3634.8</v>
      </c>
    </row>
    <row r="102" customFormat="false" ht="15" hidden="false" customHeight="false" outlineLevel="0" collapsed="false">
      <c r="A102" s="2" t="n">
        <v>2024</v>
      </c>
      <c r="B102" s="53" t="s">
        <v>1</v>
      </c>
      <c r="C102" s="55" t="s">
        <v>2</v>
      </c>
      <c r="D102" s="55" t="s">
        <v>3</v>
      </c>
      <c r="E102" s="55" t="s">
        <v>4</v>
      </c>
      <c r="F102" s="55" t="s">
        <v>5</v>
      </c>
      <c r="G102" s="55" t="s">
        <v>6</v>
      </c>
      <c r="H102" s="55" t="s">
        <v>7</v>
      </c>
      <c r="I102" s="55" t="s">
        <v>8</v>
      </c>
      <c r="J102" s="55" t="s">
        <v>9</v>
      </c>
      <c r="K102" s="55" t="s">
        <v>10</v>
      </c>
      <c r="L102" s="55" t="s">
        <v>11</v>
      </c>
      <c r="M102" s="55" t="s">
        <v>12</v>
      </c>
      <c r="N102" s="55" t="s">
        <v>13</v>
      </c>
    </row>
    <row r="104" customFormat="false" ht="12.75" hidden="false" customHeight="false" outlineLevel="0" collapsed="false">
      <c r="A104" s="1" t="s">
        <v>14</v>
      </c>
      <c r="C104" s="54" t="n">
        <f aca="false">SUM('Ablesewerte Gas'!D105-'Ablesewerte Gas'!C105)</f>
        <v>11172.7999999998</v>
      </c>
      <c r="D104" s="54" t="n">
        <f aca="false">SUM('Ablesewerte Gas'!E105-'Ablesewerte Gas'!D105)</f>
        <v>9121.70000000019</v>
      </c>
      <c r="E104" s="54" t="n">
        <f aca="false">SUM('Ablesewerte Gas'!F105-'Ablesewerte Gas'!E105)</f>
        <v>8828.5</v>
      </c>
      <c r="F104" s="54" t="n">
        <f aca="false">SUM('Ablesewerte Gas'!G105-'Ablesewerte Gas'!F105)</f>
        <v>6141.89999999991</v>
      </c>
      <c r="G104" s="54" t="n">
        <f aca="false">SUM('Ablesewerte Gas'!H105-'Ablesewerte Gas'!G105)</f>
        <v>3107.80000000028</v>
      </c>
      <c r="H104" s="54" t="n">
        <f aca="false">SUM('Ablesewerte Gas'!I105-'Ablesewerte Gas'!H105)</f>
        <v>2266.29999999981</v>
      </c>
      <c r="I104" s="54" t="n">
        <f aca="false">SUM('Ablesewerte Gas'!J105-'Ablesewerte Gas'!I105)</f>
        <v>2180</v>
      </c>
      <c r="J104" s="54" t="n">
        <f aca="false">SUM('Ablesewerte Gas'!K105-'Ablesewerte Gas'!J105)</f>
        <v>2100.39999999991</v>
      </c>
      <c r="K104" s="54" t="n">
        <f aca="false">SUM('Ablesewerte Gas'!L105-'Ablesewerte Gas'!K105)</f>
        <v>3177.60000000009</v>
      </c>
      <c r="L104" s="54" t="n">
        <f aca="false">SUM('Ablesewerte Gas'!M105-'Ablesewerte Gas'!L105)</f>
        <v>5709.20000000019</v>
      </c>
      <c r="M104" s="54" t="n">
        <f aca="false">SUM('Ablesewerte Gas'!N105-'Ablesewerte Gas'!M105)</f>
        <v>9611.69999999972</v>
      </c>
      <c r="N104" s="54" t="n">
        <f aca="false">SUM('Ablesewerte Gas'!O105-'Ablesewerte Gas'!N105)</f>
        <v>7001.70000000019</v>
      </c>
      <c r="P104" s="54" t="n">
        <f aca="false">SUM(C104:O104)</f>
        <v>70419.6000000001</v>
      </c>
    </row>
    <row r="105" customFormat="false" ht="12.75" hidden="false" customHeight="false" outlineLevel="0" collapsed="false">
      <c r="A105" s="1" t="s">
        <v>15</v>
      </c>
      <c r="C105" s="54" t="n">
        <f aca="false">SUM('Ablesewerte Gas'!D106-'Ablesewerte Gas'!C106)</f>
        <v>1.03000000000065</v>
      </c>
      <c r="D105" s="54" t="n">
        <f aca="false">SUM('Ablesewerte Gas'!E106-'Ablesewerte Gas'!D106)</f>
        <v>0.559999999999491</v>
      </c>
      <c r="E105" s="54" t="n">
        <f aca="false">SUM('Ablesewerte Gas'!F106-'Ablesewerte Gas'!E106)</f>
        <v>0.0100000000002183</v>
      </c>
      <c r="F105" s="54" t="n">
        <f aca="false">SUM('Ablesewerte Gas'!G106-'Ablesewerte Gas'!F106)</f>
        <v>0.8799999999992</v>
      </c>
      <c r="G105" s="54" t="n">
        <f aca="false">SUM('Ablesewerte Gas'!H106-'Ablesewerte Gas'!G106)</f>
        <v>0.1200000000008</v>
      </c>
      <c r="H105" s="54" t="n">
        <f aca="false">SUM('Ablesewerte Gas'!I106-'Ablesewerte Gas'!H106)</f>
        <v>0.219999999999345</v>
      </c>
      <c r="I105" s="54" t="n">
        <f aca="false">SUM('Ablesewerte Gas'!J106-'Ablesewerte Gas'!I106)</f>
        <v>0.25</v>
      </c>
      <c r="J105" s="54" t="n">
        <f aca="false">SUM('Ablesewerte Gas'!K106-'Ablesewerte Gas'!J106)</f>
        <v>0</v>
      </c>
      <c r="K105" s="54" t="n">
        <f aca="false">SUM('Ablesewerte Gas'!L106-'Ablesewerte Gas'!K106)</f>
        <v>0.850000000000364</v>
      </c>
      <c r="L105" s="54" t="n">
        <f aca="false">SUM('Ablesewerte Gas'!M106-'Ablesewerte Gas'!L106)</f>
        <v>0.389999999999418</v>
      </c>
      <c r="M105" s="54" t="n">
        <f aca="false">SUM('Ablesewerte Gas'!N106-'Ablesewerte Gas'!M106)</f>
        <v>0.700000000000728</v>
      </c>
      <c r="N105" s="54" t="n">
        <f aca="false">SUM('Ablesewerte Gas'!O106-'Ablesewerte Gas'!N106)</f>
        <v>1.26000000000022</v>
      </c>
      <c r="P105" s="54" t="n">
        <f aca="false">SUM(C105:O105)</f>
        <v>6.27000000000044</v>
      </c>
    </row>
    <row r="106" customFormat="false" ht="12.75" hidden="false" customHeight="false" outlineLevel="0" collapsed="false">
      <c r="A106" s="1" t="s">
        <v>20</v>
      </c>
      <c r="C106" s="54" t="n">
        <f aca="false">SUM('Ablesewerte Gas'!D107-'Ablesewerte Gas'!C107)</f>
        <v>726.200000000001</v>
      </c>
      <c r="D106" s="54" t="n">
        <f aca="false">SUM('Ablesewerte Gas'!E107-'Ablesewerte Gas'!D107)</f>
        <v>383.189999999999</v>
      </c>
      <c r="E106" s="54" t="n">
        <f aca="false">SUM('Ablesewerte Gas'!F107-'Ablesewerte Gas'!E107)</f>
        <v>353.810000000001</v>
      </c>
      <c r="F106" s="54" t="n">
        <f aca="false">SUM('Ablesewerte Gas'!G107-'Ablesewerte Gas'!F107)</f>
        <v>241.860000000001</v>
      </c>
      <c r="G106" s="54" t="n">
        <f aca="false">SUM('Ablesewerte Gas'!H107-'Ablesewerte Gas'!G107)</f>
        <v>20.1399999999994</v>
      </c>
      <c r="H106" s="54" t="n">
        <f aca="false">SUM('Ablesewerte Gas'!I107-'Ablesewerte Gas'!H107)</f>
        <v>7.33000000000175</v>
      </c>
      <c r="I106" s="54" t="n">
        <f aca="false">SUM('Ablesewerte Gas'!J107-'Ablesewerte Gas'!I107)</f>
        <v>1.81999999999971</v>
      </c>
      <c r="J106" s="54" t="n">
        <f aca="false">SUM('Ablesewerte Gas'!K107-'Ablesewerte Gas'!J107)</f>
        <v>3.31999999999971</v>
      </c>
      <c r="K106" s="54" t="n">
        <f aca="false">SUM('Ablesewerte Gas'!L107-'Ablesewerte Gas'!K107)</f>
        <v>43.5299999999988</v>
      </c>
      <c r="L106" s="54" t="n">
        <f aca="false">SUM('Ablesewerte Gas'!M107-'Ablesewerte Gas'!L107)</f>
        <v>171.779999999999</v>
      </c>
      <c r="M106" s="54" t="n">
        <f aca="false">SUM('Ablesewerte Gas'!N107-'Ablesewerte Gas'!M107)</f>
        <v>576.170000000002</v>
      </c>
      <c r="N106" s="54" t="n">
        <f aca="false">SUM('Ablesewerte Gas'!O107-'Ablesewerte Gas'!N107)</f>
        <v>454.119999999999</v>
      </c>
      <c r="O106" s="54"/>
      <c r="P106" s="54" t="n">
        <f aca="false">SUM(C106:N106)</f>
        <v>2983.27</v>
      </c>
    </row>
    <row r="109" customFormat="false" ht="15" hidden="false" customHeight="false" outlineLevel="0" collapsed="false">
      <c r="A109" s="2" t="n">
        <v>2025</v>
      </c>
      <c r="B109" s="53" t="s">
        <v>1</v>
      </c>
      <c r="C109" s="55" t="s">
        <v>2</v>
      </c>
      <c r="D109" s="55" t="s">
        <v>3</v>
      </c>
      <c r="E109" s="55" t="s">
        <v>4</v>
      </c>
      <c r="F109" s="55" t="s">
        <v>5</v>
      </c>
      <c r="G109" s="55" t="s">
        <v>6</v>
      </c>
      <c r="H109" s="55" t="s">
        <v>7</v>
      </c>
      <c r="I109" s="55" t="s">
        <v>8</v>
      </c>
      <c r="J109" s="55" t="s">
        <v>9</v>
      </c>
      <c r="K109" s="55" t="s">
        <v>10</v>
      </c>
      <c r="L109" s="55" t="s">
        <v>11</v>
      </c>
      <c r="M109" s="55" t="s">
        <v>12</v>
      </c>
      <c r="N109" s="55" t="s">
        <v>13</v>
      </c>
    </row>
    <row r="111" customFormat="false" ht="12.75" hidden="false" customHeight="false" outlineLevel="0" collapsed="false">
      <c r="A111" s="1" t="s">
        <v>14</v>
      </c>
      <c r="C111" s="54" t="n">
        <f aca="false">SUM('Ablesewerte Gas'!D112-'Ablesewerte Gas'!C112)</f>
        <v>18576.1999999997</v>
      </c>
      <c r="D111" s="54" t="n">
        <f aca="false">SUM('Ablesewerte Gas'!E112-'Ablesewerte Gas'!D112)</f>
        <v>11201.6000000001</v>
      </c>
      <c r="E111" s="54" t="n">
        <f aca="false">SUM('Ablesewerte Gas'!F112-'Ablesewerte Gas'!E112)</f>
        <v>10263.3999999999</v>
      </c>
      <c r="F111" s="54" t="n">
        <f aca="false">SUM('Ablesewerte Gas'!G112-'Ablesewerte Gas'!F112)</f>
        <v>6080.20000000019</v>
      </c>
      <c r="G111" s="54" t="n">
        <f aca="false">SUM('Ablesewerte Gas'!H112-'Ablesewerte Gas'!G112)</f>
        <v>3871.20000000019</v>
      </c>
      <c r="H111" s="54" t="n">
        <f aca="false">SUM('Ablesewerte Gas'!I112-'Ablesewerte Gas'!H112)</f>
        <v>2036</v>
      </c>
      <c r="I111" s="54" t="n">
        <f aca="false">SUM('Ablesewerte Gas'!J112-'Ablesewerte Gas'!I112)</f>
        <v>2512.89999999991</v>
      </c>
      <c r="J111" s="54" t="n">
        <f aca="false">SUM('Ablesewerte Gas'!K112-'Ablesewerte Gas'!J112)</f>
        <v>2617.89999999991</v>
      </c>
      <c r="K111" s="54" t="n">
        <f aca="false">SUM('Ablesewerte Gas'!L112-'Ablesewerte Gas'!K112)</f>
        <v>3453</v>
      </c>
      <c r="L111" s="54" t="n">
        <f aca="false">SUM('Ablesewerte Gas'!M112-'Ablesewerte Gas'!L112)</f>
        <v>6406.89999999991</v>
      </c>
      <c r="M111" s="54" t="n">
        <f aca="false">SUM('Ablesewerte Gas'!N112-'Ablesewerte Gas'!M112)</f>
        <v>8685.30000000028</v>
      </c>
      <c r="N111" s="54" t="n">
        <f aca="false">SUM('Ablesewerte Gas'!O112-'Ablesewerte Gas'!N112)</f>
        <v>6653.59999999963</v>
      </c>
      <c r="P111" s="54" t="n">
        <f aca="false">SUM(C111:O111)</f>
        <v>82358.1999999997</v>
      </c>
    </row>
    <row r="112" customFormat="false" ht="12.75" hidden="false" customHeight="false" outlineLevel="0" collapsed="false">
      <c r="A112" s="1" t="s">
        <v>15</v>
      </c>
      <c r="C112" s="54" t="n">
        <f aca="false">SUM('Ablesewerte Gas'!D113-'Ablesewerte Gas'!C113)</f>
        <v>0.979999999999563</v>
      </c>
      <c r="D112" s="54" t="n">
        <f aca="false">SUM('Ablesewerte Gas'!E113-'Ablesewerte Gas'!D113)</f>
        <v>0.600000000000364</v>
      </c>
      <c r="E112" s="54" t="n">
        <f aca="false">SUM('Ablesewerte Gas'!F113-'Ablesewerte Gas'!E113)</f>
        <v>0.569999999999709</v>
      </c>
      <c r="F112" s="54" t="n">
        <f aca="false">SUM('Ablesewerte Gas'!G113-'Ablesewerte Gas'!F113)</f>
        <v>0.210000000000946</v>
      </c>
      <c r="G112" s="54" t="n">
        <f aca="false">SUM('Ablesewerte Gas'!H113-'Ablesewerte Gas'!G113)</f>
        <v>0.0900000000001455</v>
      </c>
      <c r="H112" s="54" t="n">
        <f aca="false">SUM('Ablesewerte Gas'!I113-'Ablesewerte Gas'!H113)</f>
        <v>0.0999999999985448</v>
      </c>
      <c r="I112" s="54" t="n">
        <f aca="false">SUM('Ablesewerte Gas'!J113-'Ablesewerte Gas'!I113)</f>
        <v>0.280000000000655</v>
      </c>
      <c r="J112" s="54" t="n">
        <f aca="false">SUM('Ablesewerte Gas'!K113-'Ablesewerte Gas'!J113)</f>
        <v>0</v>
      </c>
      <c r="K112" s="54" t="n">
        <f aca="false">SUM('Ablesewerte Gas'!L113-'Ablesewerte Gas'!K113)</f>
        <v>0.889999999999418</v>
      </c>
      <c r="L112" s="54" t="n">
        <f aca="false">SUM('Ablesewerte Gas'!M113-'Ablesewerte Gas'!L113)</f>
        <v>0.329999999999927</v>
      </c>
      <c r="M112" s="54" t="n">
        <f aca="false">SUM('Ablesewerte Gas'!N113-'Ablesewerte Gas'!M113)</f>
        <v>1.86000000000058</v>
      </c>
      <c r="N112" s="54" t="n">
        <f aca="false">SUM('Ablesewerte Gas'!O113-'Ablesewerte Gas'!N113)</f>
        <v>1.29000000000087</v>
      </c>
      <c r="P112" s="54" t="n">
        <f aca="false">SUM(C112:O112)</f>
        <v>7.20000000000073</v>
      </c>
    </row>
    <row r="113" customFormat="false" ht="12.75" hidden="false" customHeight="false" outlineLevel="0" collapsed="false">
      <c r="A113" s="1" t="s">
        <v>20</v>
      </c>
      <c r="C113" s="54" t="n">
        <f aca="false">SUM('Ablesewerte Gas'!D114-'Ablesewerte Gas'!C114)</f>
        <v>1305.6</v>
      </c>
      <c r="D113" s="54" t="n">
        <f aca="false">SUM('Ablesewerte Gas'!E114-'Ablesewerte Gas'!D114)</f>
        <v>727.740000000002</v>
      </c>
      <c r="E113" s="54" t="n">
        <f aca="false">SUM('Ablesewerte Gas'!F114-'Ablesewerte Gas'!E114)</f>
        <v>508.91</v>
      </c>
      <c r="F113" s="54" t="n">
        <f aca="false">SUM('Ablesewerte Gas'!G114-'Ablesewerte Gas'!F114)</f>
        <v>222.139999999999</v>
      </c>
      <c r="G113" s="54" t="n">
        <f aca="false">SUM('Ablesewerte Gas'!H114-'Ablesewerte Gas'!G114)</f>
        <v>69.2700000000004</v>
      </c>
      <c r="H113" s="54" t="n">
        <f aca="false">SUM('Ablesewerte Gas'!I114-'Ablesewerte Gas'!H114)</f>
        <v>0</v>
      </c>
      <c r="I113" s="54" t="n">
        <f aca="false">SUM('Ablesewerte Gas'!J114-'Ablesewerte Gas'!I114)</f>
        <v>0</v>
      </c>
      <c r="J113" s="54" t="n">
        <f aca="false">SUM('Ablesewerte Gas'!K114-'Ablesewerte Gas'!J114)</f>
        <v>0</v>
      </c>
      <c r="K113" s="54" t="n">
        <f aca="false">SUM('Ablesewerte Gas'!L114-'Ablesewerte Gas'!K114)</f>
        <v>0</v>
      </c>
      <c r="L113" s="54" t="n">
        <f aca="false">SUM('Ablesewerte Gas'!M114-'Ablesewerte Gas'!L114)</f>
        <v>6.34000000000015</v>
      </c>
      <c r="M113" s="54" t="n">
        <f aca="false">SUM('Ablesewerte Gas'!N114-'Ablesewerte Gas'!M114)</f>
        <v>595.779999999999</v>
      </c>
      <c r="N113" s="54" t="n">
        <f aca="false">SUM('Ablesewerte Gas'!O114-'Ablesewerte Gas'!N114)</f>
        <v>396.07</v>
      </c>
      <c r="O113" s="54"/>
      <c r="P113" s="54" t="n">
        <f aca="false">SUM(C113:N113)</f>
        <v>3831.85</v>
      </c>
    </row>
    <row r="116" customFormat="false" ht="15" hidden="false" customHeight="false" outlineLevel="0" collapsed="false">
      <c r="A116" s="2" t="n">
        <v>2026</v>
      </c>
      <c r="B116" s="53" t="s">
        <v>1</v>
      </c>
      <c r="C116" s="55" t="s">
        <v>2</v>
      </c>
      <c r="D116" s="55" t="s">
        <v>3</v>
      </c>
      <c r="E116" s="55" t="s">
        <v>4</v>
      </c>
      <c r="F116" s="55" t="s">
        <v>5</v>
      </c>
      <c r="G116" s="55" t="s">
        <v>6</v>
      </c>
      <c r="H116" s="55" t="s">
        <v>7</v>
      </c>
      <c r="I116" s="55" t="s">
        <v>8</v>
      </c>
      <c r="J116" s="55" t="s">
        <v>9</v>
      </c>
      <c r="K116" s="55" t="s">
        <v>10</v>
      </c>
      <c r="L116" s="55" t="s">
        <v>11</v>
      </c>
      <c r="M116" s="55" t="s">
        <v>12</v>
      </c>
      <c r="N116" s="55" t="s">
        <v>13</v>
      </c>
    </row>
    <row r="118" customFormat="false" ht="12.75" hidden="false" customHeight="false" outlineLevel="0" collapsed="false">
      <c r="A118" s="1" t="s">
        <v>14</v>
      </c>
      <c r="C118" s="54" t="n">
        <f aca="false">SUM('Ablesewerte Gas'!D119-'Ablesewerte Gas'!C119)</f>
        <v>22982.7000000002</v>
      </c>
      <c r="D118" s="54" t="n">
        <f aca="false">SUM('Ablesewerte Gas'!E119-'Ablesewerte Gas'!D119)</f>
        <v>-3529964.5</v>
      </c>
      <c r="E118" s="54" t="n">
        <f aca="false">SUM('Ablesewerte Gas'!F119-'Ablesewerte Gas'!E119)</f>
        <v>0</v>
      </c>
      <c r="F118" s="54" t="n">
        <f aca="false">SUM('Ablesewerte Gas'!G119-'Ablesewerte Gas'!F119)</f>
        <v>0</v>
      </c>
      <c r="G118" s="54" t="n">
        <f aca="false">SUM('Ablesewerte Gas'!H119-'Ablesewerte Gas'!G119)</f>
        <v>0</v>
      </c>
      <c r="H118" s="54" t="n">
        <f aca="false">SUM('Ablesewerte Gas'!I119-'Ablesewerte Gas'!H119)</f>
        <v>0</v>
      </c>
      <c r="I118" s="54" t="n">
        <f aca="false">SUM('Ablesewerte Gas'!J119-'Ablesewerte Gas'!I119)</f>
        <v>0</v>
      </c>
      <c r="J118" s="54" t="n">
        <f aca="false">SUM('Ablesewerte Gas'!K119-'Ablesewerte Gas'!J119)</f>
        <v>0</v>
      </c>
      <c r="K118" s="54" t="n">
        <f aca="false">SUM('Ablesewerte Gas'!L119-'Ablesewerte Gas'!K119)</f>
        <v>0</v>
      </c>
      <c r="L118" s="54" t="n">
        <f aca="false">SUM('Ablesewerte Gas'!M119-'Ablesewerte Gas'!L119)</f>
        <v>0</v>
      </c>
      <c r="M118" s="54" t="n">
        <f aca="false">SUM('Ablesewerte Gas'!N119-'Ablesewerte Gas'!M119)</f>
        <v>0</v>
      </c>
      <c r="N118" s="54" t="n">
        <f aca="false">SUM('Ablesewerte Gas'!O119-'Ablesewerte Gas'!N119)</f>
        <v>0</v>
      </c>
      <c r="P118" s="54" t="n">
        <f aca="false">SUM(C118:O118)</f>
        <v>-3506981.8</v>
      </c>
    </row>
    <row r="119" customFormat="false" ht="12.75" hidden="false" customHeight="false" outlineLevel="0" collapsed="false">
      <c r="A119" s="1" t="s">
        <v>15</v>
      </c>
      <c r="C119" s="54" t="n">
        <f aca="false">SUM('Ablesewerte Gas'!D120-'Ablesewerte Gas'!C120)</f>
        <v>0.799999999999272</v>
      </c>
      <c r="D119" s="54" t="n">
        <f aca="false">SUM('Ablesewerte Gas'!E120-'Ablesewerte Gas'!D120)</f>
        <v>-11168.67</v>
      </c>
      <c r="E119" s="54" t="n">
        <f aca="false">SUM('Ablesewerte Gas'!F120-'Ablesewerte Gas'!E120)</f>
        <v>0</v>
      </c>
      <c r="F119" s="54" t="n">
        <f aca="false">SUM('Ablesewerte Gas'!G120-'Ablesewerte Gas'!F120)</f>
        <v>0</v>
      </c>
      <c r="G119" s="54" t="n">
        <f aca="false">SUM('Ablesewerte Gas'!H120-'Ablesewerte Gas'!G120)</f>
        <v>0</v>
      </c>
      <c r="H119" s="54" t="n">
        <f aca="false">SUM('Ablesewerte Gas'!I120-'Ablesewerte Gas'!H120)</f>
        <v>0</v>
      </c>
      <c r="I119" s="54" t="n">
        <f aca="false">SUM('Ablesewerte Gas'!J120-'Ablesewerte Gas'!I120)</f>
        <v>0</v>
      </c>
      <c r="J119" s="54" t="n">
        <f aca="false">SUM('Ablesewerte Gas'!K120-'Ablesewerte Gas'!J120)</f>
        <v>0</v>
      </c>
      <c r="K119" s="54" t="n">
        <f aca="false">SUM('Ablesewerte Gas'!L120-'Ablesewerte Gas'!K120)</f>
        <v>0</v>
      </c>
      <c r="L119" s="54" t="n">
        <f aca="false">SUM('Ablesewerte Gas'!M120-'Ablesewerte Gas'!L120)</f>
        <v>0</v>
      </c>
      <c r="M119" s="54" t="n">
        <f aca="false">SUM('Ablesewerte Gas'!N120-'Ablesewerte Gas'!M120)</f>
        <v>0</v>
      </c>
      <c r="N119" s="54" t="n">
        <f aca="false">SUM('Ablesewerte Gas'!O120-'Ablesewerte Gas'!N120)</f>
        <v>0</v>
      </c>
      <c r="P119" s="54" t="n">
        <f aca="false">SUM(C119:O119)</f>
        <v>-11167.87</v>
      </c>
    </row>
    <row r="120" customFormat="false" ht="12.75" hidden="false" customHeight="false" outlineLevel="0" collapsed="false">
      <c r="A120" s="1" t="s">
        <v>20</v>
      </c>
      <c r="C120" s="54" t="n">
        <f aca="false">SUM('Ablesewerte Gas'!D121-'Ablesewerte Gas'!C121)</f>
        <v>1438.71</v>
      </c>
      <c r="D120" s="54" t="n">
        <f aca="false">SUM('Ablesewerte Gas'!E121-'Ablesewerte Gas'!D121)</f>
        <v>-31102.63</v>
      </c>
      <c r="E120" s="54" t="n">
        <f aca="false">SUM('Ablesewerte Gas'!F121-'Ablesewerte Gas'!E121)</f>
        <v>0</v>
      </c>
      <c r="F120" s="54" t="n">
        <f aca="false">SUM('Ablesewerte Gas'!G121-'Ablesewerte Gas'!F121)</f>
        <v>0</v>
      </c>
      <c r="G120" s="54" t="n">
        <f aca="false">SUM('Ablesewerte Gas'!H121-'Ablesewerte Gas'!G121)</f>
        <v>0</v>
      </c>
      <c r="H120" s="54" t="n">
        <f aca="false">SUM('Ablesewerte Gas'!I121-'Ablesewerte Gas'!H121)</f>
        <v>0</v>
      </c>
      <c r="I120" s="54" t="n">
        <f aca="false">SUM('Ablesewerte Gas'!J121-'Ablesewerte Gas'!I121)</f>
        <v>0</v>
      </c>
      <c r="J120" s="54" t="n">
        <f aca="false">SUM('Ablesewerte Gas'!K121-'Ablesewerte Gas'!J121)</f>
        <v>0</v>
      </c>
      <c r="K120" s="54" t="n">
        <f aca="false">SUM('Ablesewerte Gas'!L121-'Ablesewerte Gas'!K121)</f>
        <v>0</v>
      </c>
      <c r="L120" s="54" t="n">
        <f aca="false">SUM('Ablesewerte Gas'!M121-'Ablesewerte Gas'!L121)</f>
        <v>0</v>
      </c>
      <c r="M120" s="54" t="n">
        <f aca="false">SUM('Ablesewerte Gas'!N121-'Ablesewerte Gas'!M121)</f>
        <v>0</v>
      </c>
      <c r="N120" s="54" t="n">
        <f aca="false">SUM('Ablesewerte Gas'!O121-'Ablesewerte Gas'!N121)</f>
        <v>0</v>
      </c>
      <c r="O120" s="54"/>
      <c r="P120" s="54" t="n">
        <f aca="false">SUM(C120:N120)</f>
        <v>-29663.92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CC"/>
    <pageSetUpPr fitToPage="false"/>
  </sheetPr>
  <dimension ref="A2:S291"/>
  <sheetViews>
    <sheetView showFormulas="false" showGridLines="true" showRowColHeaders="true" showZeros="true" rightToLeft="false" tabSelected="false" showOutlineSymbols="true" defaultGridColor="true" view="normal" topLeftCell="A66" colorId="64" zoomScale="100" zoomScaleNormal="100" zoomScalePageLayoutView="100" workbookViewId="0">
      <selection pane="topLeft" activeCell="N85" activeCellId="1" sqref="L206:L207 N85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9.41"/>
    <col collapsed="false" customWidth="true" hidden="false" outlineLevel="0" max="2" min="2" style="1" width="10.85"/>
    <col collapsed="false" customWidth="true" hidden="false" outlineLevel="0" max="3" min="3" style="1" width="11.56"/>
    <col collapsed="false" customWidth="true" hidden="false" outlineLevel="0" max="4" min="4" style="1" width="11.7"/>
    <col collapsed="false" customWidth="true" hidden="false" outlineLevel="0" max="5" min="5" style="1" width="12.7"/>
    <col collapsed="false" customWidth="true" hidden="false" outlineLevel="0" max="8" min="6" style="1" width="11.7"/>
    <col collapsed="false" customWidth="true" hidden="false" outlineLevel="0" max="9" min="9" style="1" width="12.7"/>
    <col collapsed="false" customWidth="true" hidden="false" outlineLevel="0" max="13" min="10" style="1" width="11.7"/>
    <col collapsed="false" customWidth="true" hidden="false" outlineLevel="0" max="14" min="14" style="1" width="12.7"/>
    <col collapsed="false" customWidth="true" hidden="false" outlineLevel="0" max="15" min="15" style="1" width="11.7"/>
    <col collapsed="false" customWidth="true" hidden="false" outlineLevel="0" max="16" min="16" style="1" width="13.41"/>
  </cols>
  <sheetData>
    <row r="2" customFormat="false" ht="15" hidden="false" customHeight="false" outlineLevel="0" collapsed="false">
      <c r="A2" s="3" t="n">
        <v>2012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56" t="s">
        <v>22</v>
      </c>
      <c r="R2" s="6"/>
      <c r="S2" s="6"/>
    </row>
    <row r="3" customFormat="false" ht="15" hidden="false" customHeight="false" outlineLevel="0" collapsed="false">
      <c r="A3" s="3" t="s">
        <v>23</v>
      </c>
      <c r="B3" s="6" t="s">
        <v>24</v>
      </c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6"/>
      <c r="P3" s="6"/>
      <c r="Q3" s="6" t="s">
        <v>25</v>
      </c>
      <c r="R3" s="6"/>
      <c r="S3" s="6"/>
    </row>
    <row r="4" customFormat="false" ht="12.75" hidden="false" customHeight="false" outlineLevel="0" collapsed="false">
      <c r="A4" s="6"/>
      <c r="B4" s="6"/>
      <c r="C4" s="7" t="n">
        <v>40908</v>
      </c>
      <c r="D4" s="7" t="n">
        <v>40940</v>
      </c>
      <c r="E4" s="7" t="n">
        <v>40969</v>
      </c>
      <c r="F4" s="7" t="n">
        <v>41000</v>
      </c>
      <c r="G4" s="7" t="n">
        <v>41031</v>
      </c>
      <c r="H4" s="7" t="n">
        <v>41061</v>
      </c>
      <c r="I4" s="7" t="n">
        <v>41092</v>
      </c>
      <c r="J4" s="7" t="n">
        <v>41117</v>
      </c>
      <c r="K4" s="7" t="n">
        <v>41153</v>
      </c>
      <c r="L4" s="57" t="s">
        <v>26</v>
      </c>
      <c r="M4" s="7" t="n">
        <v>41218</v>
      </c>
      <c r="N4" s="7" t="n">
        <v>41247</v>
      </c>
      <c r="O4" s="7" t="n">
        <v>41274</v>
      </c>
      <c r="P4" s="6"/>
      <c r="Q4" s="6"/>
      <c r="R4" s="6"/>
      <c r="S4" s="6"/>
    </row>
    <row r="5" customFormat="false" ht="12.75" hidden="false" customHeight="false" outlineLevel="0" collapsed="false">
      <c r="A5" s="6" t="s">
        <v>27</v>
      </c>
      <c r="B5" s="6"/>
      <c r="C5" s="8" t="n">
        <v>327383.8</v>
      </c>
      <c r="D5" s="8" t="n">
        <v>331826.8</v>
      </c>
      <c r="E5" s="8" t="n">
        <v>335501.6</v>
      </c>
      <c r="F5" s="8" t="n">
        <v>339532.3</v>
      </c>
      <c r="G5" s="8" t="n">
        <v>342183.9</v>
      </c>
      <c r="H5" s="8" t="n">
        <v>344905.3</v>
      </c>
      <c r="I5" s="8" t="n">
        <v>346980.3</v>
      </c>
      <c r="J5" s="8" t="n">
        <v>348875.2</v>
      </c>
      <c r="K5" s="8" t="n">
        <v>350516</v>
      </c>
      <c r="L5" s="8" t="n">
        <v>353171.3</v>
      </c>
      <c r="M5" s="8" t="n">
        <v>356948.9</v>
      </c>
      <c r="N5" s="8" t="n">
        <v>360682.2</v>
      </c>
      <c r="O5" s="8" t="n">
        <v>364580.7</v>
      </c>
      <c r="P5" s="8"/>
      <c r="Q5" s="8" t="n">
        <f aca="false">SUM(O5-C5)</f>
        <v>37196.9</v>
      </c>
      <c r="R5" s="6"/>
      <c r="S5" s="6"/>
    </row>
    <row r="6" customFormat="false" ht="12.75" hidden="false" customHeight="false" outlineLevel="0" collapsed="false">
      <c r="A6" s="6" t="s">
        <v>28</v>
      </c>
      <c r="B6" s="6"/>
      <c r="C6" s="8" t="n">
        <v>183317.3</v>
      </c>
      <c r="D6" s="8" t="n">
        <v>186544.5</v>
      </c>
      <c r="E6" s="8" t="n">
        <v>189105.5</v>
      </c>
      <c r="F6" s="8" t="n">
        <v>191949.9</v>
      </c>
      <c r="G6" s="8" t="n">
        <v>193766.4</v>
      </c>
      <c r="H6" s="8" t="n">
        <v>195468.4</v>
      </c>
      <c r="I6" s="8" t="n">
        <v>196623.5</v>
      </c>
      <c r="J6" s="8" t="n">
        <v>197738.3</v>
      </c>
      <c r="K6" s="8" t="n">
        <v>198856.4</v>
      </c>
      <c r="L6" s="8" t="n">
        <v>200671.8</v>
      </c>
      <c r="M6" s="8" t="n">
        <v>203318.7</v>
      </c>
      <c r="N6" s="8" t="n">
        <v>206038.1</v>
      </c>
      <c r="O6" s="8" t="n">
        <v>208914.2</v>
      </c>
      <c r="P6" s="8"/>
      <c r="Q6" s="8" t="n">
        <f aca="false">SUM(O6-C6)</f>
        <v>25596.9</v>
      </c>
      <c r="R6" s="8" t="n">
        <f aca="false">SUM(Q5-Q6)</f>
        <v>11600</v>
      </c>
      <c r="S6" s="6"/>
    </row>
    <row r="7" customFormat="false" ht="12.75" hidden="false" customHeight="false" outlineLevel="0" collapsed="false">
      <c r="A7" s="6" t="s">
        <v>29</v>
      </c>
      <c r="B7" s="6"/>
      <c r="C7" s="8" t="n">
        <v>38142.5</v>
      </c>
      <c r="D7" s="8" t="n">
        <v>38222.5</v>
      </c>
      <c r="E7" s="8" t="n">
        <v>38286.5</v>
      </c>
      <c r="F7" s="8" t="n">
        <v>38343.5</v>
      </c>
      <c r="G7" s="8" t="n">
        <v>38367</v>
      </c>
      <c r="H7" s="8" t="n">
        <v>38399.5</v>
      </c>
      <c r="I7" s="8" t="n">
        <v>38499.4</v>
      </c>
      <c r="J7" s="8" t="n">
        <v>38502.2</v>
      </c>
      <c r="K7" s="8" t="n">
        <v>38502.2</v>
      </c>
      <c r="L7" s="8" t="n">
        <v>38560.7</v>
      </c>
      <c r="M7" s="8" t="n">
        <v>38622.3</v>
      </c>
      <c r="N7" s="8" t="n">
        <v>38664.7</v>
      </c>
      <c r="O7" s="8" t="n">
        <v>38690.7</v>
      </c>
      <c r="P7" s="8"/>
      <c r="Q7" s="8" t="n">
        <f aca="false">SUM(O7-C7)</f>
        <v>548.199999999997</v>
      </c>
      <c r="R7" s="6"/>
      <c r="S7" s="6"/>
    </row>
    <row r="8" customFormat="false" ht="12.75" hidden="false" customHeight="false" outlineLevel="0" collapsed="false">
      <c r="A8" s="6" t="s">
        <v>30</v>
      </c>
      <c r="B8" s="6"/>
      <c r="C8" s="8" t="n">
        <v>49269.2</v>
      </c>
      <c r="D8" s="8" t="n">
        <v>49428</v>
      </c>
      <c r="E8" s="8" t="n">
        <v>49551.5</v>
      </c>
      <c r="F8" s="8" t="n">
        <v>49695.6</v>
      </c>
      <c r="G8" s="8" t="n">
        <v>49816.3</v>
      </c>
      <c r="H8" s="8" t="n">
        <v>49931.6</v>
      </c>
      <c r="I8" s="8" t="n">
        <v>50046.8</v>
      </c>
      <c r="J8" s="8" t="n">
        <v>50165.6</v>
      </c>
      <c r="K8" s="8" t="n">
        <v>50298.8</v>
      </c>
      <c r="L8" s="8" t="n">
        <v>50400</v>
      </c>
      <c r="M8" s="8" t="n">
        <v>50544.2</v>
      </c>
      <c r="N8" s="8" t="n">
        <v>50663.6</v>
      </c>
      <c r="O8" s="8" t="n">
        <v>50812.1</v>
      </c>
      <c r="P8" s="8"/>
      <c r="Q8" s="8" t="n">
        <f aca="false">SUM(O8-C8)</f>
        <v>1542.9</v>
      </c>
      <c r="R8" s="6"/>
      <c r="S8" s="6"/>
    </row>
    <row r="9" customFormat="false" ht="12.75" hidden="false" customHeight="false" outlineLevel="0" collapsed="false">
      <c r="A9" s="6" t="s">
        <v>31</v>
      </c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">
        <v>32</v>
      </c>
      <c r="Q9" s="6"/>
      <c r="R9" s="6"/>
      <c r="S9" s="6"/>
    </row>
    <row r="10" customFormat="false" ht="12.75" hidden="false" customHeight="false" outlineLevel="0" collapsed="false">
      <c r="A10" s="6" t="s">
        <v>33</v>
      </c>
      <c r="B10" s="6"/>
      <c r="C10" s="8" t="n">
        <v>4714.8</v>
      </c>
      <c r="D10" s="8" t="n">
        <v>4784.07</v>
      </c>
      <c r="E10" s="8" t="n">
        <v>4848.45</v>
      </c>
      <c r="F10" s="8" t="n">
        <v>4929.19</v>
      </c>
      <c r="G10" s="8" t="n">
        <v>4980.8</v>
      </c>
      <c r="H10" s="8" t="n">
        <v>5056.18</v>
      </c>
      <c r="I10" s="8" t="n">
        <v>5122.06</v>
      </c>
      <c r="J10" s="8" t="n">
        <v>5182.24</v>
      </c>
      <c r="K10" s="8" t="n">
        <v>5246.44</v>
      </c>
      <c r="L10" s="8" t="n">
        <v>5304.09</v>
      </c>
      <c r="M10" s="8" t="n">
        <v>5382.36</v>
      </c>
      <c r="N10" s="8" t="n">
        <v>5451.51</v>
      </c>
      <c r="O10" s="8" t="n">
        <v>5512.46</v>
      </c>
      <c r="P10" s="8"/>
      <c r="Q10" s="8" t="n">
        <f aca="false">SUM(O10-C10)</f>
        <v>797.66</v>
      </c>
      <c r="R10" s="6"/>
      <c r="S10" s="6"/>
    </row>
    <row r="11" customFormat="false" ht="12.75" hidden="false" customHeight="false" outlineLevel="0" collapsed="false">
      <c r="A11" s="6" t="s">
        <v>34</v>
      </c>
      <c r="B11" s="6"/>
      <c r="C11" s="8" t="n">
        <v>2094.61</v>
      </c>
      <c r="D11" s="8" t="n">
        <v>2122.3</v>
      </c>
      <c r="E11" s="8" t="n">
        <v>2147.61</v>
      </c>
      <c r="F11" s="8" t="n">
        <v>2176.93</v>
      </c>
      <c r="G11" s="8" t="n">
        <v>2195.04</v>
      </c>
      <c r="H11" s="8" t="n">
        <v>2220.14</v>
      </c>
      <c r="I11" s="8" t="n">
        <v>2242.86</v>
      </c>
      <c r="J11" s="8" t="n">
        <v>2263.39</v>
      </c>
      <c r="K11" s="8" t="n">
        <v>2279.52</v>
      </c>
      <c r="L11" s="8" t="n">
        <v>2302.32</v>
      </c>
      <c r="M11" s="8" t="n">
        <v>2336.57</v>
      </c>
      <c r="N11" s="8" t="n">
        <v>2371.23</v>
      </c>
      <c r="O11" s="8" t="n">
        <v>2401.09</v>
      </c>
      <c r="P11" s="8"/>
      <c r="Q11" s="8" t="n">
        <f aca="false">SUM(O11-C11)</f>
        <v>306.48</v>
      </c>
      <c r="R11" s="6"/>
      <c r="S11" s="6"/>
    </row>
    <row r="12" customFormat="false" ht="12.75" hidden="false" customHeight="false" outlineLevel="0" collapsed="false">
      <c r="A12" s="6" t="s">
        <v>35</v>
      </c>
      <c r="B12" s="6"/>
      <c r="C12" s="8" t="n">
        <v>76204.8</v>
      </c>
      <c r="D12" s="8" t="n">
        <v>77316.7</v>
      </c>
      <c r="E12" s="8" t="n">
        <v>78249.6</v>
      </c>
      <c r="F12" s="8" t="n">
        <v>79261.9</v>
      </c>
      <c r="G12" s="8" t="n">
        <v>79889.7</v>
      </c>
      <c r="H12" s="8" t="n">
        <v>80598.2</v>
      </c>
      <c r="I12" s="8" t="n">
        <v>81351.9</v>
      </c>
      <c r="J12" s="8" t="n">
        <v>81871.7</v>
      </c>
      <c r="K12" s="8" t="n">
        <v>82438.3</v>
      </c>
      <c r="L12" s="8" t="n">
        <v>83104.1</v>
      </c>
      <c r="M12" s="8" t="n">
        <v>84119.2</v>
      </c>
      <c r="N12" s="8" t="n">
        <v>85276.7</v>
      </c>
      <c r="O12" s="8" t="n">
        <v>86290.7</v>
      </c>
      <c r="P12" s="8"/>
      <c r="Q12" s="8" t="n">
        <f aca="false">SUM(O12-C12)</f>
        <v>10085.9</v>
      </c>
      <c r="R12" s="6"/>
      <c r="S12" s="4" t="s">
        <v>36</v>
      </c>
    </row>
    <row r="13" customFormat="false" ht="12.75" hidden="false" customHeight="false" outlineLevel="0" collapsed="false">
      <c r="A13" s="6" t="s">
        <v>37</v>
      </c>
      <c r="B13" s="6"/>
      <c r="C13" s="8" t="n">
        <v>5128.1</v>
      </c>
      <c r="D13" s="8" t="n">
        <v>5380</v>
      </c>
      <c r="E13" s="8" t="n">
        <v>6382.9</v>
      </c>
      <c r="F13" s="8" t="n">
        <v>6618.2</v>
      </c>
      <c r="G13" s="8" t="n">
        <v>6678</v>
      </c>
      <c r="H13" s="8" t="n">
        <v>6678</v>
      </c>
      <c r="I13" s="8" t="n">
        <v>6678</v>
      </c>
      <c r="J13" s="8" t="n">
        <v>6678</v>
      </c>
      <c r="K13" s="8" t="n">
        <v>6678</v>
      </c>
      <c r="L13" s="8" t="n">
        <v>6678</v>
      </c>
      <c r="M13" s="8" t="n">
        <v>6678</v>
      </c>
      <c r="N13" s="8" t="n">
        <v>6678</v>
      </c>
      <c r="O13" s="8" t="n">
        <v>6678</v>
      </c>
      <c r="P13" s="8"/>
      <c r="Q13" s="8" t="n">
        <f aca="false">SUM(O13-C13)</f>
        <v>1549.9</v>
      </c>
      <c r="R13" s="6"/>
      <c r="S13" s="8" t="n">
        <f aca="false">SUM(Q13:Q14)</f>
        <v>1859.7</v>
      </c>
    </row>
    <row r="14" customFormat="false" ht="12.75" hidden="false" customHeight="false" outlineLevel="0" collapsed="false">
      <c r="A14" s="6" t="s">
        <v>38</v>
      </c>
      <c r="B14" s="6"/>
      <c r="C14" s="8" t="n">
        <v>7409.3</v>
      </c>
      <c r="D14" s="8" t="n">
        <v>7444.8</v>
      </c>
      <c r="E14" s="8" t="n">
        <v>7541.6</v>
      </c>
      <c r="F14" s="8" t="n">
        <v>7641.3</v>
      </c>
      <c r="G14" s="8" t="n">
        <v>7699.8</v>
      </c>
      <c r="H14" s="8" t="n">
        <v>7714.5</v>
      </c>
      <c r="I14" s="8" t="n">
        <v>7715.2</v>
      </c>
      <c r="J14" s="8" t="n">
        <v>7715.5</v>
      </c>
      <c r="K14" s="8" t="n">
        <v>7715.9</v>
      </c>
      <c r="L14" s="8" t="n">
        <v>7716.5</v>
      </c>
      <c r="M14" s="8" t="n">
        <v>7717.6</v>
      </c>
      <c r="N14" s="8" t="n">
        <v>7718.3</v>
      </c>
      <c r="O14" s="8" t="n">
        <v>7719.1</v>
      </c>
      <c r="P14" s="8"/>
      <c r="Q14" s="8" t="n">
        <f aca="false">SUM(O14-C14)</f>
        <v>309.8</v>
      </c>
      <c r="R14" s="6"/>
      <c r="S14" s="6"/>
    </row>
    <row r="15" customFormat="false" ht="12.75" hidden="false" customHeight="false" outlineLevel="0" collapsed="false">
      <c r="A15" s="6" t="s">
        <v>39</v>
      </c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32</v>
      </c>
      <c r="Q15" s="6"/>
      <c r="R15" s="6"/>
      <c r="S15" s="6"/>
    </row>
    <row r="16" customFormat="false" ht="12.75" hidden="false" customHeight="false" outlineLevel="0" collapsed="false">
      <c r="A16" s="6" t="s">
        <v>40</v>
      </c>
      <c r="B16" s="6"/>
      <c r="C16" s="8" t="n">
        <v>93767.2</v>
      </c>
      <c r="D16" s="8" t="n">
        <v>94979</v>
      </c>
      <c r="E16" s="8" t="n">
        <v>96077.8</v>
      </c>
      <c r="F16" s="8" t="n">
        <v>97210.4</v>
      </c>
      <c r="G16" s="8" t="n">
        <v>98210.9</v>
      </c>
      <c r="H16" s="8" t="n">
        <v>99138.8</v>
      </c>
      <c r="I16" s="8" t="n">
        <v>100062.6</v>
      </c>
      <c r="J16" s="8" t="n">
        <v>100801.2</v>
      </c>
      <c r="K16" s="8" t="n">
        <v>101143.3</v>
      </c>
      <c r="L16" s="8" t="n">
        <v>101965.1</v>
      </c>
      <c r="M16" s="8" t="n">
        <v>103135.9</v>
      </c>
      <c r="N16" s="8" t="n">
        <v>104163.6</v>
      </c>
      <c r="O16" s="8" t="n">
        <v>105579.6</v>
      </c>
      <c r="P16" s="8"/>
      <c r="Q16" s="8" t="n">
        <f aca="false">SUM(O16-C16)</f>
        <v>11812.4</v>
      </c>
      <c r="R16" s="6"/>
      <c r="S16" s="6"/>
    </row>
    <row r="17" customFormat="false" ht="12.7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21" customFormat="false" ht="15" hidden="false" customHeight="false" outlineLevel="0" collapsed="false">
      <c r="A21" s="9" t="n">
        <v>2013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customFormat="false" ht="15" hidden="false" customHeight="false" outlineLevel="0" collapsed="false">
      <c r="A22" s="9" t="s">
        <v>23</v>
      </c>
      <c r="B22" s="12" t="s">
        <v>24</v>
      </c>
      <c r="C22" s="58" t="s">
        <v>2</v>
      </c>
      <c r="D22" s="58" t="s">
        <v>3</v>
      </c>
      <c r="E22" s="58" t="s">
        <v>4</v>
      </c>
      <c r="F22" s="58" t="s">
        <v>5</v>
      </c>
      <c r="G22" s="58" t="s">
        <v>6</v>
      </c>
      <c r="H22" s="58" t="s">
        <v>7</v>
      </c>
      <c r="I22" s="58" t="s">
        <v>8</v>
      </c>
      <c r="J22" s="58" t="s">
        <v>9</v>
      </c>
      <c r="K22" s="58" t="s">
        <v>10</v>
      </c>
      <c r="L22" s="58" t="s">
        <v>11</v>
      </c>
      <c r="M22" s="58" t="s">
        <v>12</v>
      </c>
      <c r="N22" s="58" t="s">
        <v>13</v>
      </c>
      <c r="O22" s="12"/>
      <c r="P22" s="12"/>
      <c r="Q22" s="12"/>
      <c r="R22" s="12"/>
      <c r="S22" s="12"/>
    </row>
    <row r="23" customFormat="false" ht="12.75" hidden="false" customHeight="false" outlineLevel="0" collapsed="false">
      <c r="A23" s="12"/>
      <c r="B23" s="12"/>
      <c r="C23" s="13" t="n">
        <v>41274</v>
      </c>
      <c r="D23" s="13" t="n">
        <v>41306</v>
      </c>
      <c r="E23" s="13" t="n">
        <v>41334</v>
      </c>
      <c r="F23" s="13" t="n">
        <v>41366</v>
      </c>
      <c r="G23" s="13" t="n">
        <v>41397</v>
      </c>
      <c r="H23" s="13" t="n">
        <v>41429</v>
      </c>
      <c r="I23" s="13" t="n">
        <v>41456</v>
      </c>
      <c r="J23" s="13" t="n">
        <v>41487</v>
      </c>
      <c r="K23" s="13" t="n">
        <v>41519</v>
      </c>
      <c r="L23" s="13" t="n">
        <v>41548</v>
      </c>
      <c r="M23" s="13" t="n">
        <v>41582</v>
      </c>
      <c r="N23" s="13" t="n">
        <v>41610</v>
      </c>
      <c r="O23" s="13" t="n">
        <v>41639</v>
      </c>
      <c r="P23" s="12"/>
      <c r="Q23" s="12"/>
      <c r="R23" s="12"/>
      <c r="S23" s="12"/>
    </row>
    <row r="24" customFormat="false" ht="12.75" hidden="false" customHeight="false" outlineLevel="0" collapsed="false">
      <c r="A24" s="12" t="s">
        <v>27</v>
      </c>
      <c r="B24" s="12"/>
      <c r="C24" s="14" t="n">
        <v>364580.7</v>
      </c>
      <c r="D24" s="14" t="n">
        <v>367942.7</v>
      </c>
      <c r="E24" s="14" t="n">
        <v>371233.9</v>
      </c>
      <c r="F24" s="14" t="n">
        <v>374692.2</v>
      </c>
      <c r="G24" s="14" t="n">
        <v>377757.1</v>
      </c>
      <c r="H24" s="14" t="n">
        <v>380477.9</v>
      </c>
      <c r="I24" s="14" t="n">
        <v>382451.8</v>
      </c>
      <c r="J24" s="14" t="n">
        <v>383952.2</v>
      </c>
      <c r="K24" s="14" t="n">
        <v>385102.2</v>
      </c>
      <c r="L24" s="14" t="n">
        <v>387240</v>
      </c>
      <c r="M24" s="14" t="n">
        <v>390221.8</v>
      </c>
      <c r="N24" s="14" t="n">
        <v>393847.1</v>
      </c>
      <c r="O24" s="14" t="n">
        <v>397816.7</v>
      </c>
      <c r="P24" s="12"/>
      <c r="Q24" s="12"/>
      <c r="R24" s="12"/>
      <c r="S24" s="12"/>
    </row>
    <row r="25" customFormat="false" ht="12.75" hidden="false" customHeight="false" outlineLevel="0" collapsed="false">
      <c r="A25" s="12" t="s">
        <v>28</v>
      </c>
      <c r="B25" s="12"/>
      <c r="C25" s="14" t="n">
        <v>208914.2</v>
      </c>
      <c r="D25" s="14" t="n">
        <v>211374.3</v>
      </c>
      <c r="E25" s="14" t="n">
        <v>213778.4</v>
      </c>
      <c r="F25" s="14" t="n">
        <v>216319.7</v>
      </c>
      <c r="G25" s="14" t="n">
        <v>218416.4</v>
      </c>
      <c r="H25" s="14" t="n">
        <v>220403.7</v>
      </c>
      <c r="I25" s="14" t="n">
        <v>221631.9</v>
      </c>
      <c r="J25" s="14" t="n">
        <v>222502.5</v>
      </c>
      <c r="K25" s="14" t="n">
        <v>223226.9</v>
      </c>
      <c r="L25" s="14" t="n">
        <v>224622.6</v>
      </c>
      <c r="M25" s="14" t="n">
        <v>226738.8</v>
      </c>
      <c r="N25" s="14" t="n">
        <v>229495</v>
      </c>
      <c r="O25" s="14" t="n">
        <v>232489.1</v>
      </c>
      <c r="P25" s="12"/>
      <c r="Q25" s="12"/>
      <c r="R25" s="12"/>
      <c r="S25" s="12"/>
    </row>
    <row r="26" customFormat="false" ht="12.75" hidden="false" customHeight="false" outlineLevel="0" collapsed="false">
      <c r="A26" s="12" t="s">
        <v>29</v>
      </c>
      <c r="B26" s="12"/>
      <c r="C26" s="14" t="n">
        <v>38690.7</v>
      </c>
      <c r="D26" s="14" t="n">
        <v>38718.8</v>
      </c>
      <c r="E26" s="14" t="n">
        <v>38749.4</v>
      </c>
      <c r="F26" s="14" t="n">
        <v>38766.2</v>
      </c>
      <c r="G26" s="14" t="n">
        <v>38802.8</v>
      </c>
      <c r="H26" s="14" t="n">
        <v>38826</v>
      </c>
      <c r="I26" s="14" t="n">
        <v>38834.9</v>
      </c>
      <c r="J26" s="14" t="n">
        <v>38843.8</v>
      </c>
      <c r="K26" s="14" t="n">
        <v>38843.8</v>
      </c>
      <c r="L26" s="14" t="n">
        <v>38909.2</v>
      </c>
      <c r="M26" s="14" t="n">
        <v>38962.4</v>
      </c>
      <c r="N26" s="14" t="n">
        <v>39058.7</v>
      </c>
      <c r="O26" s="14" t="n">
        <v>39110.3</v>
      </c>
      <c r="P26" s="12"/>
      <c r="Q26" s="12"/>
      <c r="R26" s="12"/>
      <c r="S26" s="12"/>
    </row>
    <row r="27" customFormat="false" ht="12.75" hidden="false" customHeight="false" outlineLevel="0" collapsed="false">
      <c r="A27" s="12" t="s">
        <v>30</v>
      </c>
      <c r="B27" s="12"/>
      <c r="C27" s="14" t="n">
        <v>50812.1</v>
      </c>
      <c r="D27" s="14" t="n">
        <v>50923.4</v>
      </c>
      <c r="E27" s="14" t="n">
        <v>51045.1</v>
      </c>
      <c r="F27" s="14" t="n">
        <v>51180.9</v>
      </c>
      <c r="G27" s="14" t="n">
        <v>51317.4</v>
      </c>
      <c r="H27" s="14" t="n">
        <v>51455.8</v>
      </c>
      <c r="I27" s="14" t="n">
        <v>51555.4</v>
      </c>
      <c r="J27" s="14" t="n">
        <v>51665.6</v>
      </c>
      <c r="K27" s="14" t="n">
        <v>51779</v>
      </c>
      <c r="L27" s="14" t="n">
        <v>51887.6</v>
      </c>
      <c r="M27" s="14" t="n">
        <v>52027.2</v>
      </c>
      <c r="N27" s="14" t="n">
        <v>52148.2</v>
      </c>
      <c r="O27" s="14" t="n">
        <v>52301.6</v>
      </c>
      <c r="P27" s="12"/>
      <c r="Q27" s="12"/>
      <c r="R27" s="12"/>
      <c r="S27" s="12"/>
    </row>
    <row r="28" customFormat="false" ht="12.75" hidden="false" customHeight="false" outlineLevel="0" collapsed="false">
      <c r="A28" s="12" t="s">
        <v>31</v>
      </c>
      <c r="B28" s="12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 t="s">
        <v>32</v>
      </c>
      <c r="Q28" s="12"/>
      <c r="R28" s="12"/>
      <c r="S28" s="12"/>
    </row>
    <row r="29" customFormat="false" ht="12.75" hidden="false" customHeight="false" outlineLevel="0" collapsed="false">
      <c r="A29" s="12" t="s">
        <v>33</v>
      </c>
      <c r="B29" s="12"/>
      <c r="C29" s="14" t="n">
        <v>5512.46</v>
      </c>
      <c r="D29" s="14" t="n">
        <v>5573.65</v>
      </c>
      <c r="E29" s="14" t="n">
        <v>5630.62</v>
      </c>
      <c r="F29" s="14" t="n">
        <v>5694.42</v>
      </c>
      <c r="G29" s="14" t="n">
        <v>5765.3</v>
      </c>
      <c r="H29" s="14" t="n">
        <v>5813.9</v>
      </c>
      <c r="I29" s="14" t="n">
        <v>5885.82</v>
      </c>
      <c r="J29" s="14" t="n">
        <v>5959.3</v>
      </c>
      <c r="K29" s="14" t="n">
        <v>6002.78</v>
      </c>
      <c r="L29" s="14" t="n">
        <v>6065.34</v>
      </c>
      <c r="M29" s="14" t="n">
        <v>6135.13</v>
      </c>
      <c r="N29" s="14" t="n">
        <v>6209.9</v>
      </c>
      <c r="O29" s="14" t="n">
        <v>6277.25</v>
      </c>
      <c r="P29" s="12"/>
      <c r="Q29" s="12"/>
      <c r="R29" s="12"/>
      <c r="S29" s="12"/>
    </row>
    <row r="30" customFormat="false" ht="12.75" hidden="false" customHeight="false" outlineLevel="0" collapsed="false">
      <c r="A30" s="12" t="s">
        <v>34</v>
      </c>
      <c r="B30" s="12"/>
      <c r="C30" s="14" t="n">
        <v>2401.09</v>
      </c>
      <c r="D30" s="14" t="n">
        <v>2430.19</v>
      </c>
      <c r="E30" s="14" t="n">
        <v>2458.26</v>
      </c>
      <c r="F30" s="14" t="n">
        <v>2487.06</v>
      </c>
      <c r="G30" s="14" t="n">
        <v>2514.9</v>
      </c>
      <c r="H30" s="14" t="n">
        <v>2535.25</v>
      </c>
      <c r="I30" s="14" t="n">
        <v>2561.56</v>
      </c>
      <c r="J30" s="14" t="n">
        <v>2582.5</v>
      </c>
      <c r="K30" s="14" t="n">
        <v>2594.27</v>
      </c>
      <c r="L30" s="14" t="n">
        <v>2619.32</v>
      </c>
      <c r="M30" s="14" t="n">
        <v>2650.56</v>
      </c>
      <c r="N30" s="14" t="n">
        <v>2684.98</v>
      </c>
      <c r="O30" s="14" t="n">
        <v>2714.73</v>
      </c>
      <c r="P30" s="12"/>
      <c r="Q30" s="12"/>
      <c r="R30" s="12"/>
      <c r="S30" s="12"/>
    </row>
    <row r="31" customFormat="false" ht="12.75" hidden="false" customHeight="false" outlineLevel="0" collapsed="false">
      <c r="A31" s="12" t="s">
        <v>35</v>
      </c>
      <c r="B31" s="12"/>
      <c r="C31" s="14" t="n">
        <v>86290.7</v>
      </c>
      <c r="D31" s="14" t="n">
        <v>87229.6</v>
      </c>
      <c r="E31" s="14" t="n">
        <v>88171.6</v>
      </c>
      <c r="F31" s="14" t="n">
        <v>89000.1</v>
      </c>
      <c r="G31" s="14" t="n">
        <v>89768.7</v>
      </c>
      <c r="H31" s="14" t="n">
        <v>90333.5</v>
      </c>
      <c r="I31" s="14" t="n">
        <v>90953.7</v>
      </c>
      <c r="J31" s="14" t="n">
        <v>91432.7</v>
      </c>
      <c r="K31" s="14" t="n">
        <v>91801.8</v>
      </c>
      <c r="L31" s="14" t="n">
        <v>92499.7</v>
      </c>
      <c r="M31" s="14" t="n">
        <v>93408.7</v>
      </c>
      <c r="N31" s="14" t="n">
        <v>94529.9</v>
      </c>
      <c r="O31" s="14" t="n">
        <v>95567.3</v>
      </c>
      <c r="P31" s="12"/>
      <c r="Q31" s="12"/>
      <c r="R31" s="12"/>
      <c r="S31" s="12"/>
    </row>
    <row r="32" customFormat="false" ht="12.75" hidden="false" customHeight="false" outlineLevel="0" collapsed="false">
      <c r="A32" s="12" t="s">
        <v>37</v>
      </c>
      <c r="B32" s="12"/>
      <c r="C32" s="14" t="n">
        <v>6678</v>
      </c>
      <c r="D32" s="14" t="n">
        <v>6678</v>
      </c>
      <c r="E32" s="14" t="n">
        <v>6678</v>
      </c>
      <c r="F32" s="14" t="n">
        <v>6678</v>
      </c>
      <c r="G32" s="14" t="n">
        <v>6678</v>
      </c>
      <c r="H32" s="14" t="n">
        <v>6678</v>
      </c>
      <c r="I32" s="14" t="n">
        <v>6678</v>
      </c>
      <c r="J32" s="14" t="n">
        <v>6678</v>
      </c>
      <c r="K32" s="14" t="n">
        <v>6678</v>
      </c>
      <c r="L32" s="14" t="n">
        <v>6678</v>
      </c>
      <c r="M32" s="14" t="n">
        <v>6678</v>
      </c>
      <c r="N32" s="14" t="n">
        <v>6678</v>
      </c>
      <c r="O32" s="14" t="n">
        <v>6678</v>
      </c>
      <c r="P32" s="12"/>
      <c r="Q32" s="12"/>
      <c r="R32" s="12"/>
      <c r="S32" s="12"/>
    </row>
    <row r="33" customFormat="false" ht="12.75" hidden="false" customHeight="false" outlineLevel="0" collapsed="false">
      <c r="A33" s="12" t="s">
        <v>38</v>
      </c>
      <c r="B33" s="12"/>
      <c r="C33" s="14" t="n">
        <v>7719.1</v>
      </c>
      <c r="D33" s="14" t="n">
        <v>7719.4</v>
      </c>
      <c r="E33" s="14" t="n">
        <v>7719.8</v>
      </c>
      <c r="F33" s="14" t="n">
        <v>7720.1</v>
      </c>
      <c r="G33" s="14" t="n">
        <v>7720.7</v>
      </c>
      <c r="H33" s="14" t="n">
        <v>7720.9</v>
      </c>
      <c r="I33" s="14" t="n">
        <v>7721.3</v>
      </c>
      <c r="J33" s="14" t="n">
        <v>7811</v>
      </c>
      <c r="K33" s="14" t="n">
        <v>7811.1</v>
      </c>
      <c r="L33" s="14" t="n">
        <v>7811.4</v>
      </c>
      <c r="M33" s="14" t="n">
        <v>7811.4</v>
      </c>
      <c r="N33" s="14" t="n">
        <v>7811.4</v>
      </c>
      <c r="O33" s="14" t="n">
        <v>7811.4</v>
      </c>
      <c r="P33" s="12"/>
      <c r="Q33" s="12"/>
      <c r="R33" s="12"/>
      <c r="S33" s="12"/>
    </row>
    <row r="34" customFormat="false" ht="12.75" hidden="false" customHeight="false" outlineLevel="0" collapsed="false">
      <c r="A34" s="12" t="s">
        <v>39</v>
      </c>
      <c r="B34" s="12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32</v>
      </c>
      <c r="Q34" s="12"/>
      <c r="R34" s="12"/>
      <c r="S34" s="12"/>
    </row>
    <row r="35" customFormat="false" ht="12.75" hidden="false" customHeight="false" outlineLevel="0" collapsed="false">
      <c r="A35" s="12" t="s">
        <v>40</v>
      </c>
      <c r="B35" s="12"/>
      <c r="C35" s="14" t="n">
        <v>105579.6</v>
      </c>
      <c r="D35" s="14" t="n">
        <v>106537.4</v>
      </c>
      <c r="E35" s="14" t="n">
        <v>107594.9</v>
      </c>
      <c r="F35" s="14" t="n">
        <v>108771.3</v>
      </c>
      <c r="G35" s="14" t="n">
        <v>109805.2</v>
      </c>
      <c r="H35" s="14" t="n">
        <v>110723.2</v>
      </c>
      <c r="I35" s="14" t="n">
        <v>111475.8</v>
      </c>
      <c r="J35" s="14" t="n">
        <v>112177.2</v>
      </c>
      <c r="K35" s="14" t="n">
        <v>112376.1</v>
      </c>
      <c r="L35" s="14" t="n">
        <v>113159.7</v>
      </c>
      <c r="M35" s="14" t="n">
        <v>114187.1</v>
      </c>
      <c r="N35" s="14" t="n">
        <v>115107.1</v>
      </c>
      <c r="O35" s="14" t="n">
        <v>116089.6</v>
      </c>
      <c r="P35" s="12"/>
      <c r="Q35" s="12"/>
      <c r="R35" s="12"/>
      <c r="S35" s="12"/>
    </row>
    <row r="36" customFormat="false" ht="12.7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4"/>
      <c r="P36" s="12"/>
      <c r="Q36" s="12"/>
      <c r="R36" s="12"/>
      <c r="S36" s="12"/>
    </row>
    <row r="40" customFormat="false" ht="15" hidden="false" customHeight="false" outlineLevel="0" collapsed="false">
      <c r="A40" s="9" t="n">
        <v>2014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customFormat="false" ht="15" hidden="false" customHeight="false" outlineLevel="0" collapsed="false">
      <c r="A41" s="9" t="s">
        <v>23</v>
      </c>
      <c r="B41" s="12" t="s">
        <v>24</v>
      </c>
      <c r="C41" s="58" t="s">
        <v>2</v>
      </c>
      <c r="D41" s="58" t="s">
        <v>3</v>
      </c>
      <c r="E41" s="58" t="s">
        <v>4</v>
      </c>
      <c r="F41" s="58" t="s">
        <v>5</v>
      </c>
      <c r="G41" s="58" t="s">
        <v>6</v>
      </c>
      <c r="H41" s="58" t="s">
        <v>7</v>
      </c>
      <c r="I41" s="58" t="s">
        <v>8</v>
      </c>
      <c r="J41" s="58" t="s">
        <v>9</v>
      </c>
      <c r="K41" s="58" t="s">
        <v>10</v>
      </c>
      <c r="L41" s="58" t="s">
        <v>11</v>
      </c>
      <c r="M41" s="58" t="s">
        <v>12</v>
      </c>
      <c r="N41" s="58" t="s">
        <v>13</v>
      </c>
      <c r="O41" s="12"/>
      <c r="P41" s="12"/>
      <c r="Q41" s="12"/>
      <c r="R41" s="12"/>
      <c r="S41" s="12"/>
    </row>
    <row r="42" customFormat="false" ht="12.75" hidden="false" customHeight="false" outlineLevel="0" collapsed="false">
      <c r="A42" s="12"/>
      <c r="B42" s="12"/>
      <c r="C42" s="13" t="n">
        <v>41639</v>
      </c>
      <c r="D42" s="13" t="n">
        <v>41671</v>
      </c>
      <c r="E42" s="13" t="n">
        <v>41699</v>
      </c>
      <c r="F42" s="13" t="n">
        <v>41730</v>
      </c>
      <c r="G42" s="13" t="n">
        <v>41764</v>
      </c>
      <c r="H42" s="13" t="n">
        <v>41792</v>
      </c>
      <c r="I42" s="13" t="n">
        <v>41821</v>
      </c>
      <c r="J42" s="13" t="n">
        <v>41852</v>
      </c>
      <c r="K42" s="13" t="n">
        <v>41886</v>
      </c>
      <c r="L42" s="13" t="n">
        <v>41920</v>
      </c>
      <c r="M42" s="13" t="n">
        <v>41947</v>
      </c>
      <c r="N42" s="13" t="n">
        <v>41974</v>
      </c>
      <c r="O42" s="13" t="n">
        <v>42004</v>
      </c>
      <c r="P42" s="12"/>
      <c r="Q42" s="12"/>
      <c r="R42" s="12"/>
      <c r="S42" s="12"/>
    </row>
    <row r="43" customFormat="false" ht="12.75" hidden="false" customHeight="false" outlineLevel="0" collapsed="false">
      <c r="A43" s="12" t="s">
        <v>27</v>
      </c>
      <c r="B43" s="12"/>
      <c r="C43" s="14" t="n">
        <v>397816.7</v>
      </c>
      <c r="D43" s="14" t="n">
        <v>400929.3</v>
      </c>
      <c r="E43" s="14" t="n">
        <v>404619.6</v>
      </c>
      <c r="F43" s="14" t="n">
        <v>407523</v>
      </c>
      <c r="G43" s="14" t="n">
        <v>410361.8</v>
      </c>
      <c r="H43" s="14" t="n">
        <v>412882.3</v>
      </c>
      <c r="I43" s="14" t="n">
        <v>414557.2</v>
      </c>
      <c r="J43" s="14" t="n">
        <v>416612.3</v>
      </c>
      <c r="K43" s="14" t="n">
        <v>418086.8</v>
      </c>
      <c r="L43" s="14" t="n">
        <v>420119.2</v>
      </c>
      <c r="M43" s="14" t="n">
        <v>422027.4</v>
      </c>
      <c r="N43" s="14" t="n">
        <v>424498.3</v>
      </c>
      <c r="O43" s="14" t="n">
        <v>427634.1</v>
      </c>
      <c r="P43" s="12"/>
      <c r="Q43" s="12"/>
      <c r="R43" s="12"/>
      <c r="S43" s="12"/>
    </row>
    <row r="44" customFormat="false" ht="12.75" hidden="false" customHeight="false" outlineLevel="0" collapsed="false">
      <c r="A44" s="12" t="s">
        <v>28</v>
      </c>
      <c r="B44" s="12"/>
      <c r="C44" s="14" t="n">
        <v>232489.1</v>
      </c>
      <c r="D44" s="14" t="n">
        <v>234809</v>
      </c>
      <c r="E44" s="14" t="n">
        <v>237535.6</v>
      </c>
      <c r="F44" s="14" t="n">
        <v>239682.6</v>
      </c>
      <c r="G44" s="14" t="n">
        <v>241789.9</v>
      </c>
      <c r="H44" s="14" t="n">
        <v>243546.2</v>
      </c>
      <c r="I44" s="14" t="n">
        <v>244568.4</v>
      </c>
      <c r="J44" s="14" t="n">
        <v>245730.9</v>
      </c>
      <c r="K44" s="14" t="n">
        <v>246591.4</v>
      </c>
      <c r="L44" s="14" t="n">
        <v>247823.3</v>
      </c>
      <c r="M44" s="14" t="n">
        <v>249042.2</v>
      </c>
      <c r="N44" s="14" t="n">
        <v>250706.2</v>
      </c>
      <c r="O44" s="14" t="n">
        <v>252916.7</v>
      </c>
      <c r="P44" s="12"/>
      <c r="Q44" s="12"/>
      <c r="R44" s="12"/>
      <c r="S44" s="12"/>
    </row>
    <row r="45" customFormat="false" ht="12.75" hidden="false" customHeight="false" outlineLevel="0" collapsed="false">
      <c r="A45" s="12" t="s">
        <v>29</v>
      </c>
      <c r="B45" s="12"/>
      <c r="C45" s="14" t="n">
        <v>39110.3</v>
      </c>
      <c r="D45" s="14" t="n">
        <v>39174.8</v>
      </c>
      <c r="E45" s="14" t="n">
        <v>39223.7</v>
      </c>
      <c r="F45" s="14" t="n">
        <v>39244.4</v>
      </c>
      <c r="G45" s="14" t="n">
        <v>39263.1</v>
      </c>
      <c r="H45" s="14" t="n">
        <v>39293.4</v>
      </c>
      <c r="I45" s="14" t="n">
        <v>39298.4</v>
      </c>
      <c r="J45" s="14" t="n">
        <v>39315.9</v>
      </c>
      <c r="K45" s="14" t="n">
        <v>39317.9</v>
      </c>
      <c r="L45" s="14" t="n">
        <v>39393.8</v>
      </c>
      <c r="M45" s="14" t="n">
        <v>39439.5</v>
      </c>
      <c r="N45" s="14" t="n">
        <v>39500.5</v>
      </c>
      <c r="O45" s="14" t="n">
        <v>39544.3</v>
      </c>
      <c r="P45" s="12"/>
      <c r="Q45" s="12"/>
      <c r="R45" s="12"/>
      <c r="S45" s="12"/>
    </row>
    <row r="46" customFormat="false" ht="12.75" hidden="false" customHeight="false" outlineLevel="0" collapsed="false">
      <c r="A46" s="12" t="s">
        <v>30</v>
      </c>
      <c r="B46" s="12"/>
      <c r="C46" s="14" t="n">
        <v>52301.6</v>
      </c>
      <c r="D46" s="14" t="n">
        <v>52403</v>
      </c>
      <c r="E46" s="14" t="n">
        <v>52537.7</v>
      </c>
      <c r="F46" s="14" t="n">
        <v>52650.9</v>
      </c>
      <c r="G46" s="14" t="n">
        <v>52790.3</v>
      </c>
      <c r="H46" s="14" t="n">
        <v>52898.3</v>
      </c>
      <c r="I46" s="14" t="n">
        <v>53177.7</v>
      </c>
      <c r="J46" s="14" t="n">
        <v>53542.3</v>
      </c>
      <c r="K46" s="14" t="n">
        <v>53929.3</v>
      </c>
      <c r="L46" s="14" t="n">
        <v>54122.5</v>
      </c>
      <c r="M46" s="14" t="n">
        <v>54169.5</v>
      </c>
      <c r="N46" s="14" t="n">
        <v>54215.9</v>
      </c>
      <c r="O46" s="14" t="n">
        <v>54277.7</v>
      </c>
      <c r="P46" s="12"/>
      <c r="Q46" s="12"/>
      <c r="R46" s="12"/>
      <c r="S46" s="12"/>
    </row>
    <row r="47" customFormat="false" ht="12.75" hidden="false" customHeight="false" outlineLevel="0" collapsed="false">
      <c r="A47" s="12" t="s">
        <v>31</v>
      </c>
      <c r="B47" s="12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32</v>
      </c>
      <c r="Q47" s="12"/>
      <c r="R47" s="12"/>
      <c r="S47" s="12"/>
    </row>
    <row r="48" customFormat="false" ht="12.75" hidden="false" customHeight="false" outlineLevel="0" collapsed="false">
      <c r="A48" s="12" t="s">
        <v>33</v>
      </c>
      <c r="B48" s="12"/>
      <c r="C48" s="14" t="n">
        <v>6277.25</v>
      </c>
      <c r="D48" s="14" t="n">
        <v>6337.09</v>
      </c>
      <c r="E48" s="14" t="n">
        <v>6411.26</v>
      </c>
      <c r="F48" s="14" t="n">
        <v>6470.15</v>
      </c>
      <c r="G48" s="14" t="n">
        <v>6525.01</v>
      </c>
      <c r="H48" s="14" t="n">
        <v>6596.6</v>
      </c>
      <c r="I48" s="14" t="n">
        <v>6645.27</v>
      </c>
      <c r="J48" s="14" t="n">
        <v>6712.38</v>
      </c>
      <c r="K48" s="14" t="n">
        <v>6773.26</v>
      </c>
      <c r="L48" s="14" t="n">
        <v>6843.75</v>
      </c>
      <c r="M48" s="14" t="n">
        <v>6900.6</v>
      </c>
      <c r="N48" s="14" t="n">
        <v>6968.95</v>
      </c>
      <c r="O48" s="14" t="n">
        <v>7032.58</v>
      </c>
      <c r="P48" s="12"/>
      <c r="Q48" s="12"/>
      <c r="R48" s="12"/>
      <c r="S48" s="12"/>
    </row>
    <row r="49" customFormat="false" ht="12.75" hidden="false" customHeight="false" outlineLevel="0" collapsed="false">
      <c r="A49" s="12" t="s">
        <v>34</v>
      </c>
      <c r="B49" s="12"/>
      <c r="C49" s="14" t="n">
        <v>2714.73</v>
      </c>
      <c r="D49" s="14" t="n">
        <v>2740.72</v>
      </c>
      <c r="E49" s="14" t="n">
        <v>2773.8</v>
      </c>
      <c r="F49" s="14" t="n">
        <v>2797.84</v>
      </c>
      <c r="G49" s="14" t="n">
        <v>2818.86</v>
      </c>
      <c r="H49" s="14" t="n">
        <v>2844</v>
      </c>
      <c r="I49" s="14" t="n">
        <v>2860.72</v>
      </c>
      <c r="J49" s="14" t="n">
        <v>2884.96</v>
      </c>
      <c r="K49" s="14" t="n">
        <v>2901.32</v>
      </c>
      <c r="L49" s="14" t="n">
        <v>2930.56</v>
      </c>
      <c r="M49" s="14" t="n">
        <v>2955.8</v>
      </c>
      <c r="N49" s="14" t="n">
        <v>2988.41</v>
      </c>
      <c r="O49" s="14" t="n">
        <v>3021.68</v>
      </c>
      <c r="P49" s="12"/>
      <c r="Q49" s="12"/>
      <c r="R49" s="12"/>
      <c r="S49" s="12"/>
    </row>
    <row r="50" customFormat="false" ht="12.75" hidden="false" customHeight="false" outlineLevel="0" collapsed="false">
      <c r="A50" s="12" t="s">
        <v>35</v>
      </c>
      <c r="B50" s="12"/>
      <c r="C50" s="14" t="n">
        <v>95567.3</v>
      </c>
      <c r="D50" s="14" t="n">
        <v>96504.8</v>
      </c>
      <c r="E50" s="14" t="n">
        <v>97617.6</v>
      </c>
      <c r="F50" s="14" t="n">
        <v>98438.4</v>
      </c>
      <c r="G50" s="14" t="n">
        <v>99136.5</v>
      </c>
      <c r="H50" s="14" t="n">
        <v>99811</v>
      </c>
      <c r="I50" s="14" t="n">
        <v>100271.5</v>
      </c>
      <c r="J50" s="14" t="n">
        <v>100881.7</v>
      </c>
      <c r="K50" s="14" t="n">
        <v>101383.6</v>
      </c>
      <c r="L50" s="14" t="n">
        <v>102183.2</v>
      </c>
      <c r="M50" s="14" t="n">
        <v>102183.2</v>
      </c>
      <c r="N50" s="14" t="n">
        <v>102183.2</v>
      </c>
      <c r="O50" s="14" t="n">
        <v>102215.9</v>
      </c>
      <c r="P50" s="12"/>
      <c r="Q50" s="12"/>
      <c r="R50" s="12"/>
      <c r="S50" s="12"/>
    </row>
    <row r="51" customFormat="false" ht="12.75" hidden="false" customHeight="false" outlineLevel="0" collapsed="false">
      <c r="A51" s="12" t="s">
        <v>37</v>
      </c>
      <c r="B51" s="12"/>
      <c r="C51" s="14" t="n">
        <v>6678</v>
      </c>
      <c r="D51" s="14" t="n">
        <v>6678</v>
      </c>
      <c r="E51" s="14" t="n">
        <v>6714</v>
      </c>
      <c r="F51" s="14" t="n">
        <v>6714</v>
      </c>
      <c r="G51" s="14" t="n">
        <v>6714</v>
      </c>
      <c r="H51" s="14" t="n">
        <v>6714</v>
      </c>
      <c r="I51" s="14" t="n">
        <v>6714</v>
      </c>
      <c r="J51" s="14" t="n">
        <v>6714</v>
      </c>
      <c r="K51" s="14" t="n">
        <v>6714</v>
      </c>
      <c r="L51" s="14" t="n">
        <v>6714</v>
      </c>
      <c r="M51" s="14" t="n">
        <v>6678</v>
      </c>
      <c r="N51" s="14" t="n">
        <v>6678</v>
      </c>
      <c r="O51" s="14" t="n">
        <v>6678</v>
      </c>
      <c r="P51" s="12"/>
      <c r="Q51" s="12"/>
      <c r="R51" s="12"/>
      <c r="S51" s="12"/>
    </row>
    <row r="52" customFormat="false" ht="12.75" hidden="false" customHeight="false" outlineLevel="0" collapsed="false">
      <c r="A52" s="12" t="s">
        <v>38</v>
      </c>
      <c r="B52" s="12"/>
      <c r="C52" s="14" t="n">
        <v>7811.4</v>
      </c>
      <c r="D52" s="14" t="n">
        <v>7811.4</v>
      </c>
      <c r="E52" s="14" t="n">
        <v>7884.3</v>
      </c>
      <c r="F52" s="14" t="n">
        <v>8355.3</v>
      </c>
      <c r="G52" s="14" t="n">
        <v>8563.8</v>
      </c>
      <c r="H52" s="14" t="n">
        <v>8784.6</v>
      </c>
      <c r="I52" s="14" t="n">
        <v>8891.7</v>
      </c>
      <c r="J52" s="14" t="n">
        <v>9156.5</v>
      </c>
      <c r="K52" s="14" t="n">
        <v>9479.9</v>
      </c>
      <c r="L52" s="14" t="n">
        <v>9578</v>
      </c>
      <c r="M52" s="14" t="n">
        <v>7811.4</v>
      </c>
      <c r="N52" s="14" t="n">
        <v>7811.4</v>
      </c>
      <c r="O52" s="14" t="n">
        <v>7811.4</v>
      </c>
      <c r="P52" s="12"/>
      <c r="Q52" s="12"/>
      <c r="R52" s="12"/>
      <c r="S52" s="12"/>
    </row>
    <row r="53" customFormat="false" ht="12.75" hidden="false" customHeight="false" outlineLevel="0" collapsed="false">
      <c r="A53" s="12" t="s">
        <v>39</v>
      </c>
      <c r="B53" s="12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 t="s">
        <v>32</v>
      </c>
      <c r="Q53" s="12"/>
      <c r="R53" s="12"/>
      <c r="S53" s="12"/>
    </row>
    <row r="54" customFormat="false" ht="12.75" hidden="false" customHeight="false" outlineLevel="0" collapsed="false">
      <c r="A54" s="12" t="s">
        <v>40</v>
      </c>
      <c r="B54" s="12"/>
      <c r="C54" s="14" t="n">
        <v>116089.6</v>
      </c>
      <c r="D54" s="14" t="n">
        <v>116863.2</v>
      </c>
      <c r="E54" s="14" t="n">
        <v>117904.6</v>
      </c>
      <c r="F54" s="14" t="n">
        <v>118759.6</v>
      </c>
      <c r="G54" s="14" t="n">
        <v>119681.4</v>
      </c>
      <c r="H54" s="14" t="n">
        <v>120398.7</v>
      </c>
      <c r="I54" s="14" t="n">
        <v>120914</v>
      </c>
      <c r="J54" s="14" t="n">
        <v>121596.6</v>
      </c>
      <c r="K54" s="14" t="n">
        <v>122338.5</v>
      </c>
      <c r="L54" s="14" t="n">
        <v>123119.2</v>
      </c>
      <c r="M54" s="14" t="n">
        <v>123660.3</v>
      </c>
      <c r="N54" s="14" t="n">
        <v>124237.6</v>
      </c>
      <c r="O54" s="14" t="n">
        <v>125112.5</v>
      </c>
      <c r="P54" s="12"/>
      <c r="Q54" s="12"/>
      <c r="R54" s="12"/>
      <c r="S54" s="12"/>
    </row>
    <row r="55" customFormat="false" ht="12.7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4"/>
      <c r="P55" s="12"/>
      <c r="Q55" s="12"/>
      <c r="R55" s="12"/>
      <c r="S55" s="12"/>
    </row>
    <row r="59" customFormat="false" ht="15" hidden="false" customHeight="false" outlineLevel="0" collapsed="false">
      <c r="A59" s="16" t="n">
        <v>2015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customFormat="false" ht="15" hidden="false" customHeight="false" outlineLevel="0" collapsed="false">
      <c r="A60" s="16" t="s">
        <v>23</v>
      </c>
      <c r="B60" s="19" t="s">
        <v>24</v>
      </c>
      <c r="C60" s="59" t="s">
        <v>2</v>
      </c>
      <c r="D60" s="59" t="s">
        <v>3</v>
      </c>
      <c r="E60" s="59" t="s">
        <v>4</v>
      </c>
      <c r="F60" s="59" t="s">
        <v>5</v>
      </c>
      <c r="G60" s="59" t="s">
        <v>6</v>
      </c>
      <c r="H60" s="59" t="s">
        <v>7</v>
      </c>
      <c r="I60" s="59" t="s">
        <v>8</v>
      </c>
      <c r="J60" s="59" t="s">
        <v>9</v>
      </c>
      <c r="K60" s="59" t="s">
        <v>10</v>
      </c>
      <c r="L60" s="59" t="s">
        <v>11</v>
      </c>
      <c r="M60" s="59" t="s">
        <v>12</v>
      </c>
      <c r="N60" s="59" t="s">
        <v>13</v>
      </c>
      <c r="O60" s="19"/>
      <c r="P60" s="19"/>
      <c r="Q60" s="19"/>
      <c r="R60" s="19"/>
      <c r="S60" s="19"/>
    </row>
    <row r="61" customFormat="false" ht="12.75" hidden="false" customHeight="false" outlineLevel="0" collapsed="false">
      <c r="A61" s="19"/>
      <c r="B61" s="19"/>
      <c r="C61" s="20" t="n">
        <v>42011</v>
      </c>
      <c r="D61" s="20" t="n">
        <v>42036</v>
      </c>
      <c r="E61" s="20" t="n">
        <v>42065</v>
      </c>
      <c r="F61" s="20" t="n">
        <v>42095</v>
      </c>
      <c r="G61" s="20" t="n">
        <v>42128</v>
      </c>
      <c r="H61" s="20" t="n">
        <v>42156</v>
      </c>
      <c r="I61" s="20" t="n">
        <v>42186</v>
      </c>
      <c r="J61" s="20" t="n">
        <v>42217</v>
      </c>
      <c r="K61" s="20" t="n">
        <v>42248</v>
      </c>
      <c r="L61" s="20" t="n">
        <v>42278</v>
      </c>
      <c r="M61" s="20" t="n">
        <v>42310</v>
      </c>
      <c r="N61" s="20" t="n">
        <v>41974</v>
      </c>
      <c r="O61" s="20" t="n">
        <v>42004</v>
      </c>
      <c r="P61" s="19"/>
      <c r="Q61" s="19"/>
      <c r="R61" s="19"/>
      <c r="S61" s="19"/>
    </row>
    <row r="62" customFormat="false" ht="12.75" hidden="false" customHeight="false" outlineLevel="0" collapsed="false">
      <c r="A62" s="19" t="s">
        <v>27</v>
      </c>
      <c r="B62" s="19"/>
      <c r="C62" s="21" t="n">
        <v>427634.1</v>
      </c>
      <c r="D62" s="21" t="n">
        <v>430179.2</v>
      </c>
      <c r="E62" s="21" t="n">
        <v>432747.3</v>
      </c>
      <c r="F62" s="21" t="n">
        <v>435118.2</v>
      </c>
      <c r="G62" s="21" t="n">
        <v>437139.6</v>
      </c>
      <c r="H62" s="21" t="n">
        <v>438722.5</v>
      </c>
      <c r="I62" s="21" t="n">
        <v>440433.7</v>
      </c>
      <c r="J62" s="21" t="n">
        <v>442187.7</v>
      </c>
      <c r="K62" s="21" t="n">
        <v>443524.8</v>
      </c>
      <c r="L62" s="21" t="n">
        <v>445318.1</v>
      </c>
      <c r="M62" s="21" t="n">
        <v>447762.3</v>
      </c>
      <c r="N62" s="21" t="n">
        <v>450233.9</v>
      </c>
      <c r="O62" s="21" t="n">
        <v>453336.1</v>
      </c>
      <c r="P62" s="19"/>
      <c r="Q62" s="19"/>
      <c r="R62" s="19"/>
      <c r="S62" s="19"/>
    </row>
    <row r="63" customFormat="false" ht="12.75" hidden="false" customHeight="false" outlineLevel="0" collapsed="false">
      <c r="A63" s="19" t="s">
        <v>28</v>
      </c>
      <c r="B63" s="19"/>
      <c r="C63" s="21" t="n">
        <v>252916.7</v>
      </c>
      <c r="D63" s="21" t="n">
        <v>254620.8</v>
      </c>
      <c r="E63" s="21" t="n">
        <v>256426</v>
      </c>
      <c r="F63" s="21" t="n">
        <v>258017</v>
      </c>
      <c r="G63" s="21" t="n">
        <v>259351.2</v>
      </c>
      <c r="H63" s="21" t="n">
        <v>260387.2</v>
      </c>
      <c r="I63" s="21" t="n">
        <v>261446.4</v>
      </c>
      <c r="J63" s="21" t="n">
        <v>262558.5</v>
      </c>
      <c r="K63" s="21" t="n">
        <v>263471.9</v>
      </c>
      <c r="L63" s="21" t="n">
        <v>264640.9</v>
      </c>
      <c r="M63" s="21" t="n">
        <v>266306.5</v>
      </c>
      <c r="N63" s="21" t="n">
        <v>268132.9</v>
      </c>
      <c r="O63" s="21" t="n">
        <v>270469.9</v>
      </c>
      <c r="P63" s="19"/>
      <c r="Q63" s="19"/>
      <c r="R63" s="19"/>
      <c r="S63" s="19"/>
    </row>
    <row r="64" customFormat="false" ht="12.75" hidden="false" customHeight="false" outlineLevel="0" collapsed="false">
      <c r="A64" s="19" t="s">
        <v>29</v>
      </c>
      <c r="B64" s="19"/>
      <c r="C64" s="21" t="n">
        <v>39544.3</v>
      </c>
      <c r="D64" s="21" t="n">
        <v>39586.9</v>
      </c>
      <c r="E64" s="21" t="n">
        <v>39629.9</v>
      </c>
      <c r="F64" s="21" t="n">
        <v>39655.8</v>
      </c>
      <c r="G64" s="21" t="n">
        <v>39662.8</v>
      </c>
      <c r="H64" s="21" t="n">
        <v>39673.5</v>
      </c>
      <c r="I64" s="21" t="n">
        <v>39692.5</v>
      </c>
      <c r="J64" s="21" t="n">
        <v>39701.3</v>
      </c>
      <c r="K64" s="21" t="n">
        <v>39701.3</v>
      </c>
      <c r="L64" s="21" t="n">
        <v>39702.4</v>
      </c>
      <c r="M64" s="21" t="n">
        <v>39767.4</v>
      </c>
      <c r="N64" s="21" t="n">
        <v>39789.3</v>
      </c>
      <c r="O64" s="21" t="n">
        <v>40286.4</v>
      </c>
      <c r="P64" s="19"/>
      <c r="Q64" s="19"/>
      <c r="R64" s="19"/>
      <c r="S64" s="19"/>
    </row>
    <row r="65" customFormat="false" ht="12.75" hidden="false" customHeight="false" outlineLevel="0" collapsed="false">
      <c r="A65" s="19" t="s">
        <v>30</v>
      </c>
      <c r="B65" s="19"/>
      <c r="C65" s="21" t="n">
        <v>54277.7</v>
      </c>
      <c r="D65" s="21" t="n">
        <v>54324.2</v>
      </c>
      <c r="E65" s="21" t="n">
        <v>54374.6</v>
      </c>
      <c r="F65" s="21" t="n">
        <v>54423.8</v>
      </c>
      <c r="G65" s="21" t="n">
        <v>54486.4</v>
      </c>
      <c r="H65" s="21" t="n">
        <v>54526.7</v>
      </c>
      <c r="I65" s="21" t="n">
        <v>54568.1</v>
      </c>
      <c r="J65" s="21" t="n">
        <v>54603</v>
      </c>
      <c r="K65" s="21" t="n">
        <v>54642.4</v>
      </c>
      <c r="L65" s="21" t="n">
        <v>54684.1</v>
      </c>
      <c r="M65" s="21" t="n">
        <v>54764.2</v>
      </c>
      <c r="N65" s="21" t="n">
        <v>54813.8</v>
      </c>
      <c r="O65" s="21" t="n">
        <v>54871.7</v>
      </c>
      <c r="P65" s="19"/>
      <c r="Q65" s="19"/>
      <c r="R65" s="19"/>
      <c r="S65" s="19"/>
    </row>
    <row r="66" customFormat="false" ht="12.75" hidden="false" customHeight="false" outlineLevel="0" collapsed="false">
      <c r="A66" s="23" t="s">
        <v>31</v>
      </c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 t="s">
        <v>32</v>
      </c>
      <c r="Q66" s="23"/>
      <c r="R66" s="23"/>
      <c r="S66" s="23"/>
    </row>
    <row r="67" customFormat="false" ht="12.75" hidden="false" customHeight="false" outlineLevel="0" collapsed="false">
      <c r="A67" s="19" t="s">
        <v>33</v>
      </c>
      <c r="B67" s="19"/>
      <c r="C67" s="21" t="n">
        <v>7032.58</v>
      </c>
      <c r="D67" s="21" t="n">
        <v>7093.6</v>
      </c>
      <c r="E67" s="21" t="n">
        <v>7150.96</v>
      </c>
      <c r="F67" s="21" t="n">
        <v>7219.9</v>
      </c>
      <c r="G67" s="21" t="n">
        <v>7282.7</v>
      </c>
      <c r="H67" s="21" t="n">
        <v>7330.6</v>
      </c>
      <c r="I67" s="21" t="n">
        <v>7394.88</v>
      </c>
      <c r="J67" s="21" t="n">
        <v>7459.12</v>
      </c>
      <c r="K67" s="21" t="n">
        <v>7518.42</v>
      </c>
      <c r="L67" s="21" t="n">
        <v>7574.62</v>
      </c>
      <c r="M67" s="21" t="n">
        <v>7655.69</v>
      </c>
      <c r="N67" s="21" t="n">
        <v>7724.54</v>
      </c>
      <c r="O67" s="21" t="n">
        <v>7796.45</v>
      </c>
      <c r="P67" s="19"/>
      <c r="Q67" s="19"/>
      <c r="R67" s="19"/>
      <c r="S67" s="19"/>
    </row>
    <row r="68" customFormat="false" ht="12.75" hidden="false" customHeight="false" outlineLevel="0" collapsed="false">
      <c r="A68" s="19" t="s">
        <v>34</v>
      </c>
      <c r="B68" s="19"/>
      <c r="C68" s="21" t="n">
        <v>3021.68</v>
      </c>
      <c r="D68" s="21" t="n">
        <v>3051.37</v>
      </c>
      <c r="E68" s="21" t="n">
        <v>3078.1</v>
      </c>
      <c r="F68" s="21" t="n">
        <v>3106.2</v>
      </c>
      <c r="G68" s="21" t="n">
        <v>3131.1</v>
      </c>
      <c r="H68" s="21" t="n">
        <v>3152.5</v>
      </c>
      <c r="I68" s="21" t="n">
        <v>3178.1</v>
      </c>
      <c r="J68" s="21" t="n">
        <v>3204.11</v>
      </c>
      <c r="K68" s="21" t="n">
        <v>3219.43</v>
      </c>
      <c r="L68" s="21" t="n">
        <v>3247.58</v>
      </c>
      <c r="M68" s="21" t="n">
        <v>3282.03</v>
      </c>
      <c r="N68" s="21" t="n">
        <v>3313.48</v>
      </c>
      <c r="O68" s="21" t="n">
        <v>3345.05</v>
      </c>
      <c r="P68" s="19"/>
      <c r="Q68" s="19"/>
      <c r="R68" s="19"/>
      <c r="S68" s="19"/>
    </row>
    <row r="69" customFormat="false" ht="12.75" hidden="false" customHeight="false" outlineLevel="0" collapsed="false">
      <c r="A69" s="19" t="s">
        <v>35</v>
      </c>
      <c r="B69" s="19"/>
      <c r="C69" s="21" t="n">
        <v>32.7</v>
      </c>
      <c r="D69" s="21" t="n">
        <v>965.4</v>
      </c>
      <c r="E69" s="21" t="n">
        <v>1837.3</v>
      </c>
      <c r="F69" s="21" t="n">
        <v>2680</v>
      </c>
      <c r="G69" s="21" t="n">
        <v>3352.8</v>
      </c>
      <c r="H69" s="21" t="n">
        <v>3902.3</v>
      </c>
      <c r="I69" s="21" t="n">
        <v>4582.1</v>
      </c>
      <c r="J69" s="21" t="n">
        <v>5098.1</v>
      </c>
      <c r="K69" s="21" t="n">
        <v>5491.8</v>
      </c>
      <c r="L69" s="21" t="n">
        <v>6215.2</v>
      </c>
      <c r="M69" s="21" t="n">
        <v>7258.6</v>
      </c>
      <c r="N69" s="21" t="n">
        <v>8234</v>
      </c>
      <c r="O69" s="21" t="n">
        <v>9355.9</v>
      </c>
      <c r="P69" s="19"/>
      <c r="Q69" s="19"/>
      <c r="R69" s="19"/>
      <c r="S69" s="19"/>
    </row>
    <row r="70" customFormat="false" ht="12.75" hidden="false" customHeight="false" outlineLevel="0" collapsed="false">
      <c r="A70" s="19" t="s">
        <v>37</v>
      </c>
      <c r="B70" s="19"/>
      <c r="C70" s="21" t="n">
        <v>6678</v>
      </c>
      <c r="D70" s="21" t="n">
        <v>6678</v>
      </c>
      <c r="E70" s="21" t="n">
        <v>6678</v>
      </c>
      <c r="F70" s="21" t="n">
        <v>6678</v>
      </c>
      <c r="G70" s="21" t="n">
        <v>6678</v>
      </c>
      <c r="H70" s="21" t="n">
        <v>6729.8</v>
      </c>
      <c r="I70" s="21" t="n">
        <v>6731.7</v>
      </c>
      <c r="J70" s="21" t="n">
        <v>6731.7</v>
      </c>
      <c r="K70" s="21" t="n">
        <v>6731.7</v>
      </c>
      <c r="L70" s="21" t="n">
        <v>6731.7</v>
      </c>
      <c r="M70" s="21" t="n">
        <v>6731.7</v>
      </c>
      <c r="N70" s="21" t="n">
        <v>6731.7</v>
      </c>
      <c r="O70" s="21" t="n">
        <v>6731.7</v>
      </c>
      <c r="P70" s="19"/>
      <c r="Q70" s="19"/>
      <c r="R70" s="19"/>
      <c r="S70" s="19"/>
    </row>
    <row r="71" customFormat="false" ht="12.75" hidden="false" customHeight="false" outlineLevel="0" collapsed="false">
      <c r="A71" s="19" t="s">
        <v>38</v>
      </c>
      <c r="B71" s="19"/>
      <c r="C71" s="21" t="n">
        <v>0</v>
      </c>
      <c r="D71" s="21" t="n">
        <v>855</v>
      </c>
      <c r="E71" s="21" t="n">
        <v>1296</v>
      </c>
      <c r="F71" s="21" t="n">
        <v>1296</v>
      </c>
      <c r="G71" s="21" t="n">
        <v>1296</v>
      </c>
      <c r="H71" s="21" t="n">
        <v>1296</v>
      </c>
      <c r="I71" s="21" t="n">
        <v>1296</v>
      </c>
      <c r="J71" s="21" t="n">
        <v>1296</v>
      </c>
      <c r="K71" s="21" t="n">
        <v>1296</v>
      </c>
      <c r="L71" s="21" t="n">
        <v>1296</v>
      </c>
      <c r="M71" s="21" t="n">
        <v>1296</v>
      </c>
      <c r="N71" s="21" t="n">
        <v>1296</v>
      </c>
      <c r="O71" s="21" t="n">
        <v>1296</v>
      </c>
      <c r="P71" s="19"/>
      <c r="Q71" s="19"/>
      <c r="R71" s="19"/>
      <c r="S71" s="19"/>
    </row>
    <row r="72" customFormat="false" ht="12.75" hidden="false" customHeight="false" outlineLevel="0" collapsed="false">
      <c r="A72" s="23" t="s">
        <v>39</v>
      </c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 t="s">
        <v>32</v>
      </c>
      <c r="Q72" s="23"/>
      <c r="R72" s="23"/>
      <c r="S72" s="23"/>
    </row>
    <row r="73" customFormat="false" ht="12.75" hidden="false" customHeight="false" outlineLevel="0" collapsed="false">
      <c r="A73" s="19" t="s">
        <v>40</v>
      </c>
      <c r="B73" s="19"/>
      <c r="C73" s="21" t="n">
        <v>125112.5</v>
      </c>
      <c r="D73" s="21" t="n">
        <v>125819</v>
      </c>
      <c r="E73" s="21" t="n">
        <v>126626.6</v>
      </c>
      <c r="F73" s="21" t="n">
        <v>127503.6</v>
      </c>
      <c r="G73" s="21" t="n">
        <v>128428.7</v>
      </c>
      <c r="H73" s="21" t="n">
        <v>129039.3</v>
      </c>
      <c r="I73" s="21" t="n">
        <v>129667.9</v>
      </c>
      <c r="J73" s="21" t="n">
        <v>130293.1</v>
      </c>
      <c r="K73" s="21" t="n">
        <v>130534.5</v>
      </c>
      <c r="L73" s="21" t="n">
        <v>131160</v>
      </c>
      <c r="M73" s="21" t="n">
        <v>131889.7</v>
      </c>
      <c r="N73" s="21" t="n">
        <v>132668</v>
      </c>
      <c r="O73" s="21" t="n">
        <v>133487</v>
      </c>
      <c r="P73" s="19"/>
      <c r="Q73" s="19"/>
      <c r="R73" s="19"/>
      <c r="S73" s="19"/>
    </row>
    <row r="74" customFormat="false" ht="12.75" hidden="false" customHeight="false" outlineLevel="0" collapsed="false">
      <c r="A74" s="22" t="s">
        <v>41</v>
      </c>
      <c r="B74" s="19"/>
      <c r="C74" s="21" t="n">
        <v>67983</v>
      </c>
      <c r="D74" s="21" t="n">
        <v>93756</v>
      </c>
      <c r="E74" s="21" t="n">
        <v>116444</v>
      </c>
      <c r="F74" s="21" t="n">
        <v>137129</v>
      </c>
      <c r="G74" s="21" t="n">
        <v>150523</v>
      </c>
      <c r="H74" s="21" t="n">
        <v>157375</v>
      </c>
      <c r="I74" s="21" t="n">
        <v>165124</v>
      </c>
      <c r="J74" s="21" t="n">
        <v>170490</v>
      </c>
      <c r="K74" s="21" t="n">
        <v>172269</v>
      </c>
      <c r="L74" s="21" t="n">
        <v>186093</v>
      </c>
      <c r="M74" s="21" t="n">
        <v>207520</v>
      </c>
      <c r="N74" s="21" t="n">
        <v>227056</v>
      </c>
      <c r="O74" s="21" t="n">
        <v>256123</v>
      </c>
      <c r="P74" s="19"/>
      <c r="Q74" s="19"/>
      <c r="R74" s="19"/>
      <c r="S74" s="19"/>
    </row>
    <row r="75" customFormat="false" ht="13.8" hidden="false" customHeight="false" outlineLevel="0" collapsed="false">
      <c r="A75" s="60" t="s">
        <v>42</v>
      </c>
      <c r="B75" s="19"/>
      <c r="C75" s="21" t="n">
        <v>313.3</v>
      </c>
      <c r="D75" s="21" t="n">
        <v>381</v>
      </c>
      <c r="E75" s="21" t="n">
        <v>465.9</v>
      </c>
      <c r="F75" s="21" t="n">
        <v>516</v>
      </c>
      <c r="G75" s="21" t="n">
        <v>567</v>
      </c>
      <c r="H75" s="21" t="n">
        <v>599.6</v>
      </c>
      <c r="I75" s="21" t="n">
        <v>633</v>
      </c>
      <c r="J75" s="21" t="n">
        <v>657.9</v>
      </c>
      <c r="K75" s="21" t="n">
        <v>669.2</v>
      </c>
      <c r="L75" s="21" t="n">
        <v>726.2</v>
      </c>
      <c r="M75" s="21" t="n">
        <v>789.8</v>
      </c>
      <c r="N75" s="21" t="n">
        <v>842.9</v>
      </c>
      <c r="O75" s="21" t="n">
        <v>965</v>
      </c>
      <c r="P75" s="19"/>
      <c r="Q75" s="19"/>
      <c r="R75" s="19"/>
      <c r="S75" s="19"/>
    </row>
    <row r="76" customFormat="false" ht="12.75" hidden="false" customHeight="false" outlineLevel="0" collapsed="false">
      <c r="A76" s="22" t="s">
        <v>43</v>
      </c>
      <c r="B76" s="19"/>
      <c r="C76" s="21" t="n">
        <v>88134</v>
      </c>
      <c r="D76" s="21" t="n">
        <v>88673</v>
      </c>
      <c r="E76" s="21" t="n">
        <v>90211</v>
      </c>
      <c r="F76" s="21" t="n">
        <v>93265</v>
      </c>
      <c r="G76" s="21" t="n">
        <v>97788</v>
      </c>
      <c r="H76" s="21" t="n">
        <v>101482</v>
      </c>
      <c r="I76" s="21" t="n">
        <v>105438</v>
      </c>
      <c r="J76" s="21" t="n">
        <v>109773</v>
      </c>
      <c r="K76" s="21" t="n">
        <v>113880</v>
      </c>
      <c r="L76" s="21" t="n">
        <v>116581</v>
      </c>
      <c r="M76" s="21" t="n">
        <v>118301</v>
      </c>
      <c r="N76" s="21" t="n">
        <v>119377</v>
      </c>
      <c r="O76" s="21" t="n">
        <v>120758</v>
      </c>
      <c r="P76" s="61"/>
      <c r="Q76" s="61"/>
      <c r="R76" s="61"/>
      <c r="S76" s="61"/>
    </row>
    <row r="80" customFormat="false" ht="15" hidden="false" customHeight="false" outlineLevel="0" collapsed="false">
      <c r="A80" s="16" t="n">
        <v>2016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customFormat="false" ht="15" hidden="false" customHeight="false" outlineLevel="0" collapsed="false">
      <c r="A81" s="16" t="s">
        <v>23</v>
      </c>
      <c r="B81" s="19" t="s">
        <v>24</v>
      </c>
      <c r="C81" s="59" t="s">
        <v>2</v>
      </c>
      <c r="D81" s="59" t="s">
        <v>3</v>
      </c>
      <c r="E81" s="59" t="s">
        <v>4</v>
      </c>
      <c r="F81" s="59" t="s">
        <v>5</v>
      </c>
      <c r="G81" s="59" t="s">
        <v>6</v>
      </c>
      <c r="H81" s="59" t="s">
        <v>7</v>
      </c>
      <c r="I81" s="59" t="s">
        <v>8</v>
      </c>
      <c r="J81" s="59" t="s">
        <v>9</v>
      </c>
      <c r="K81" s="59" t="s">
        <v>10</v>
      </c>
      <c r="L81" s="59" t="s">
        <v>11</v>
      </c>
      <c r="M81" s="59" t="s">
        <v>12</v>
      </c>
      <c r="N81" s="59" t="s">
        <v>13</v>
      </c>
      <c r="O81" s="19"/>
      <c r="P81" s="19"/>
      <c r="Q81" s="19"/>
      <c r="R81" s="19"/>
      <c r="S81" s="19"/>
    </row>
    <row r="82" customFormat="false" ht="12.75" hidden="false" customHeight="false" outlineLevel="0" collapsed="false">
      <c r="A82" s="19"/>
      <c r="B82" s="19"/>
      <c r="C82" s="20" t="n">
        <v>42380</v>
      </c>
      <c r="D82" s="20" t="n">
        <v>42401</v>
      </c>
      <c r="E82" s="20" t="n">
        <v>42430</v>
      </c>
      <c r="F82" s="20" t="n">
        <v>42461</v>
      </c>
      <c r="G82" s="20" t="n">
        <v>42492</v>
      </c>
      <c r="H82" s="20" t="n">
        <v>42156</v>
      </c>
      <c r="I82" s="20" t="n">
        <v>42552</v>
      </c>
      <c r="J82" s="20" t="n">
        <v>42594</v>
      </c>
      <c r="K82" s="20" t="n">
        <v>42614</v>
      </c>
      <c r="L82" s="20" t="n">
        <v>42644</v>
      </c>
      <c r="M82" s="20" t="n">
        <v>42676</v>
      </c>
      <c r="N82" s="20" t="n">
        <v>42705</v>
      </c>
      <c r="O82" s="20" t="n">
        <v>42735</v>
      </c>
      <c r="P82" s="19"/>
      <c r="Q82" s="19"/>
      <c r="R82" s="19"/>
      <c r="S82" s="19"/>
    </row>
    <row r="83" customFormat="false" ht="12.75" hidden="false" customHeight="false" outlineLevel="0" collapsed="false">
      <c r="A83" s="19" t="s">
        <v>27</v>
      </c>
      <c r="B83" s="19"/>
      <c r="C83" s="21" t="n">
        <v>453336.1</v>
      </c>
      <c r="D83" s="21" t="n">
        <v>455370.2</v>
      </c>
      <c r="E83" s="21" t="n">
        <v>457652.8</v>
      </c>
      <c r="F83" s="21" t="n">
        <v>459883.7</v>
      </c>
      <c r="G83" s="21" t="n">
        <v>462027.2</v>
      </c>
      <c r="H83" s="21" t="n">
        <v>463725.5</v>
      </c>
      <c r="I83" s="21" t="n">
        <v>465604.1</v>
      </c>
      <c r="J83" s="21" t="n">
        <v>467905.2</v>
      </c>
      <c r="K83" s="21" t="n">
        <v>468692.2</v>
      </c>
      <c r="L83" s="21" t="n">
        <v>470843.5</v>
      </c>
      <c r="M83" s="21" t="n">
        <v>472800.9</v>
      </c>
      <c r="N83" s="21" t="n">
        <v>475373</v>
      </c>
      <c r="O83" s="21" t="n">
        <v>478833</v>
      </c>
      <c r="P83" s="19"/>
      <c r="Q83" s="19"/>
      <c r="R83" s="19"/>
      <c r="S83" s="19"/>
    </row>
    <row r="84" customFormat="false" ht="12.75" hidden="false" customHeight="false" outlineLevel="0" collapsed="false">
      <c r="A84" s="19" t="s">
        <v>28</v>
      </c>
      <c r="B84" s="19"/>
      <c r="C84" s="21" t="n">
        <v>270469.9</v>
      </c>
      <c r="D84" s="21" t="n">
        <v>271992.5</v>
      </c>
      <c r="E84" s="21" t="n">
        <v>273674.9</v>
      </c>
      <c r="F84" s="21" t="n">
        <v>275269.6</v>
      </c>
      <c r="G84" s="21" t="n">
        <v>276885.1</v>
      </c>
      <c r="H84" s="21" t="n">
        <v>277977.1</v>
      </c>
      <c r="I84" s="21" t="n">
        <v>279200.2</v>
      </c>
      <c r="J84" s="21" t="n">
        <v>280794.8</v>
      </c>
      <c r="K84" s="21" t="n">
        <v>281358</v>
      </c>
      <c r="L84" s="21" t="n">
        <v>282733.3</v>
      </c>
      <c r="M84" s="21" t="n">
        <v>284061.5</v>
      </c>
      <c r="N84" s="21" t="n">
        <v>285925.7</v>
      </c>
      <c r="O84" s="21" t="n">
        <v>288548.5</v>
      </c>
      <c r="P84" s="19"/>
      <c r="Q84" s="19"/>
      <c r="R84" s="19"/>
      <c r="S84" s="19"/>
    </row>
    <row r="85" customFormat="false" ht="12.75" hidden="false" customHeight="false" outlineLevel="0" collapsed="false">
      <c r="A85" s="19" t="s">
        <v>29</v>
      </c>
      <c r="B85" s="19"/>
      <c r="C85" s="21" t="n">
        <v>40286.4</v>
      </c>
      <c r="D85" s="21" t="n">
        <v>40622.2</v>
      </c>
      <c r="E85" s="21" t="n">
        <v>41071.5</v>
      </c>
      <c r="F85" s="21" t="n">
        <v>41550.8</v>
      </c>
      <c r="G85" s="21" t="n">
        <v>41994.7</v>
      </c>
      <c r="H85" s="21" t="n">
        <v>42387.5</v>
      </c>
      <c r="I85" s="21" t="n">
        <v>42823.4</v>
      </c>
      <c r="J85" s="21" t="n">
        <v>43622</v>
      </c>
      <c r="K85" s="21" t="n">
        <v>43622</v>
      </c>
      <c r="L85" s="21" t="n">
        <f aca="false">AVERAGE(K85,M85)</f>
        <v>44116.725</v>
      </c>
      <c r="M85" s="21" t="n">
        <f aca="false">AVERAGE(K85,O85)</f>
        <v>44611.45</v>
      </c>
      <c r="N85" s="21" t="n">
        <f aca="false">AVERAGE(M85,O85)</f>
        <v>45106.175</v>
      </c>
      <c r="O85" s="21" t="n">
        <v>45600.9</v>
      </c>
      <c r="P85" s="19"/>
      <c r="Q85" s="19"/>
      <c r="R85" s="19"/>
      <c r="S85" s="19"/>
    </row>
    <row r="86" customFormat="false" ht="12.75" hidden="false" customHeight="false" outlineLevel="0" collapsed="false">
      <c r="A86" s="19" t="s">
        <v>30</v>
      </c>
      <c r="B86" s="19"/>
      <c r="C86" s="21" t="n">
        <v>54871.7</v>
      </c>
      <c r="D86" s="21" t="n">
        <v>54903.9</v>
      </c>
      <c r="E86" s="21" t="n">
        <v>54942.1</v>
      </c>
      <c r="F86" s="21" t="n">
        <v>54982.2</v>
      </c>
      <c r="G86" s="21" t="n">
        <v>55020.3</v>
      </c>
      <c r="H86" s="21" t="n">
        <v>55048.4</v>
      </c>
      <c r="I86" s="21" t="n">
        <v>55071</v>
      </c>
      <c r="J86" s="21" t="n">
        <v>55104</v>
      </c>
      <c r="K86" s="21" t="n">
        <v>55104</v>
      </c>
      <c r="L86" s="21" t="n">
        <f aca="false">AVERAGE(K86,M86)</f>
        <v>55149.35</v>
      </c>
      <c r="M86" s="21" t="n">
        <f aca="false">AVERAGE(K86,O86)</f>
        <v>55194.7</v>
      </c>
      <c r="N86" s="21" t="n">
        <f aca="false">AVERAGE(M86,O86)</f>
        <v>55240.05</v>
      </c>
      <c r="O86" s="21" t="n">
        <v>55285.4</v>
      </c>
      <c r="P86" s="19"/>
      <c r="Q86" s="19"/>
      <c r="R86" s="19"/>
      <c r="S86" s="19"/>
    </row>
    <row r="87" customFormat="false" ht="12.75" hidden="false" customHeight="false" outlineLevel="0" collapsed="false">
      <c r="A87" s="23" t="s">
        <v>31</v>
      </c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 t="s">
        <v>32</v>
      </c>
      <c r="Q87" s="23"/>
      <c r="R87" s="23"/>
      <c r="S87" s="23"/>
    </row>
    <row r="88" customFormat="false" ht="12.75" hidden="false" customHeight="false" outlineLevel="0" collapsed="false">
      <c r="A88" s="19" t="s">
        <v>33</v>
      </c>
      <c r="B88" s="19"/>
      <c r="C88" s="21" t="n">
        <v>7796.45</v>
      </c>
      <c r="D88" s="21" t="n">
        <v>7854.83</v>
      </c>
      <c r="E88" s="21" t="n">
        <v>7914.64</v>
      </c>
      <c r="F88" s="21" t="n">
        <v>7979.66</v>
      </c>
      <c r="G88" s="21" t="n">
        <v>8060.55</v>
      </c>
      <c r="H88" s="21" t="n">
        <v>8107.39</v>
      </c>
      <c r="I88" s="21" t="n">
        <v>8188.37</v>
      </c>
      <c r="J88" s="21" t="n">
        <v>8300.68</v>
      </c>
      <c r="K88" s="21" t="n">
        <v>8315.39</v>
      </c>
      <c r="L88" s="21" t="n">
        <v>8384.53</v>
      </c>
      <c r="M88" s="21" t="n">
        <v>8445.99</v>
      </c>
      <c r="N88" s="21" t="n">
        <v>8513.75</v>
      </c>
      <c r="O88" s="21" t="n">
        <v>8581.86</v>
      </c>
      <c r="P88" s="19"/>
      <c r="Q88" s="19"/>
      <c r="R88" s="19"/>
      <c r="S88" s="19"/>
    </row>
    <row r="89" customFormat="false" ht="12.75" hidden="false" customHeight="false" outlineLevel="0" collapsed="false">
      <c r="A89" s="19" t="s">
        <v>34</v>
      </c>
      <c r="B89" s="19"/>
      <c r="C89" s="21" t="n">
        <v>3345.05</v>
      </c>
      <c r="D89" s="21" t="n">
        <v>3368</v>
      </c>
      <c r="E89" s="21" t="n">
        <v>3391.95</v>
      </c>
      <c r="F89" s="21" t="n">
        <v>3414.67</v>
      </c>
      <c r="G89" s="21" t="n">
        <v>3440.09</v>
      </c>
      <c r="H89" s="21" t="n">
        <v>3455.34</v>
      </c>
      <c r="I89" s="21" t="n">
        <v>3479.84</v>
      </c>
      <c r="J89" s="21" t="n">
        <v>3507.32</v>
      </c>
      <c r="K89" s="21" t="n">
        <v>3512.72</v>
      </c>
      <c r="L89" s="21" t="n">
        <v>3539.99</v>
      </c>
      <c r="M89" s="21" t="n">
        <v>3562.11</v>
      </c>
      <c r="N89" s="21" t="n">
        <v>3591.4</v>
      </c>
      <c r="O89" s="21" t="n">
        <v>3622.1</v>
      </c>
      <c r="P89" s="19"/>
      <c r="Q89" s="19"/>
      <c r="R89" s="19"/>
      <c r="S89" s="19"/>
    </row>
    <row r="90" customFormat="false" ht="12.75" hidden="false" customHeight="false" outlineLevel="0" collapsed="false">
      <c r="A90" s="19" t="s">
        <v>35</v>
      </c>
      <c r="B90" s="19"/>
      <c r="C90" s="21" t="n">
        <v>9355.9</v>
      </c>
      <c r="D90" s="21" t="n">
        <v>10226</v>
      </c>
      <c r="E90" s="21" t="n">
        <v>11186.3</v>
      </c>
      <c r="F90" s="21" t="n">
        <v>11998.5</v>
      </c>
      <c r="G90" s="21" t="n">
        <v>12919.7</v>
      </c>
      <c r="H90" s="21" t="n">
        <v>13446.4</v>
      </c>
      <c r="I90" s="21" t="n">
        <v>14217.2</v>
      </c>
      <c r="J90" s="21" t="n">
        <v>14962.7</v>
      </c>
      <c r="K90" s="21" t="n">
        <v>15171.9</v>
      </c>
      <c r="L90" s="21" t="n">
        <v>16005.2</v>
      </c>
      <c r="M90" s="21" t="n">
        <v>16802.4</v>
      </c>
      <c r="N90" s="21" t="n">
        <v>17819.8</v>
      </c>
      <c r="O90" s="21" t="n">
        <v>18957.3</v>
      </c>
      <c r="P90" s="19"/>
      <c r="Q90" s="19"/>
      <c r="R90" s="19"/>
      <c r="S90" s="19"/>
    </row>
    <row r="91" customFormat="false" ht="12.75" hidden="false" customHeight="false" outlineLevel="0" collapsed="false">
      <c r="A91" s="23" t="s">
        <v>39</v>
      </c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 t="s">
        <v>32</v>
      </c>
      <c r="Q91" s="23"/>
      <c r="R91" s="23"/>
      <c r="S91" s="23"/>
    </row>
    <row r="92" customFormat="false" ht="12.75" hidden="false" customHeight="false" outlineLevel="0" collapsed="false">
      <c r="A92" s="19" t="s">
        <v>40</v>
      </c>
      <c r="B92" s="19"/>
      <c r="C92" s="21" t="n">
        <v>133487</v>
      </c>
      <c r="D92" s="21" t="n">
        <v>134945.5</v>
      </c>
      <c r="E92" s="21" t="n">
        <v>136955.5</v>
      </c>
      <c r="F92" s="21" t="n">
        <v>139218.4</v>
      </c>
      <c r="G92" s="21" t="n">
        <v>141440.4</v>
      </c>
      <c r="H92" s="21" t="n">
        <v>142991.5</v>
      </c>
      <c r="I92" s="21" t="n">
        <v>144882.4</v>
      </c>
      <c r="J92" s="21" t="n">
        <v>146679.7</v>
      </c>
      <c r="K92" s="21" t="n">
        <v>146837</v>
      </c>
      <c r="L92" s="21" t="n">
        <v>148612.1</v>
      </c>
      <c r="M92" s="21" t="n">
        <v>150335.5</v>
      </c>
      <c r="N92" s="21" t="n">
        <v>152267.1</v>
      </c>
      <c r="O92" s="21" t="n">
        <v>155102.4</v>
      </c>
      <c r="P92" s="19"/>
      <c r="Q92" s="19"/>
      <c r="R92" s="19"/>
      <c r="S92" s="19"/>
    </row>
    <row r="93" customFormat="false" ht="12.75" hidden="false" customHeight="false" outlineLevel="0" collapsed="false">
      <c r="A93" s="22" t="s">
        <v>41</v>
      </c>
      <c r="B93" s="19"/>
      <c r="C93" s="21" t="n">
        <v>256123</v>
      </c>
      <c r="D93" s="21" t="n">
        <v>273880</v>
      </c>
      <c r="E93" s="21" t="n">
        <v>296514</v>
      </c>
      <c r="F93" s="21" t="n">
        <v>321376</v>
      </c>
      <c r="G93" s="21" t="n">
        <v>342701</v>
      </c>
      <c r="H93" s="21" t="n">
        <v>353987</v>
      </c>
      <c r="I93" s="21" t="n">
        <v>361925</v>
      </c>
      <c r="J93" s="21" t="n">
        <v>372250</v>
      </c>
      <c r="K93" s="21" t="n">
        <v>376572</v>
      </c>
      <c r="L93" s="21" t="n">
        <v>389600</v>
      </c>
      <c r="M93" s="21" t="n">
        <v>409373</v>
      </c>
      <c r="N93" s="21" t="n">
        <v>432226</v>
      </c>
      <c r="O93" s="21" t="n">
        <v>463790</v>
      </c>
      <c r="P93" s="19"/>
      <c r="Q93" s="19"/>
      <c r="R93" s="19"/>
      <c r="S93" s="19"/>
    </row>
    <row r="94" customFormat="false" ht="13.8" hidden="false" customHeight="false" outlineLevel="0" collapsed="false">
      <c r="A94" s="60" t="s">
        <v>42</v>
      </c>
      <c r="B94" s="19"/>
      <c r="C94" s="21" t="n">
        <v>965</v>
      </c>
      <c r="D94" s="21" t="n">
        <v>1009.5</v>
      </c>
      <c r="E94" s="21" t="n">
        <v>1072.5</v>
      </c>
      <c r="F94" s="21" t="n">
        <v>1156.1</v>
      </c>
      <c r="G94" s="21" t="n">
        <v>1218.5</v>
      </c>
      <c r="H94" s="21" t="n">
        <v>1262.7</v>
      </c>
      <c r="I94" s="21" t="n">
        <v>1286.4</v>
      </c>
      <c r="J94" s="21" t="n">
        <v>1325.2</v>
      </c>
      <c r="K94" s="21" t="n">
        <v>1351.8</v>
      </c>
      <c r="L94" s="21" t="n">
        <v>1399</v>
      </c>
      <c r="M94" s="21" t="n">
        <v>1460</v>
      </c>
      <c r="N94" s="21" t="n">
        <v>1520</v>
      </c>
      <c r="O94" s="21" t="n">
        <v>1635.8</v>
      </c>
      <c r="P94" s="19"/>
      <c r="Q94" s="19"/>
      <c r="R94" s="19"/>
      <c r="S94" s="19"/>
    </row>
    <row r="95" customFormat="false" ht="12.75" hidden="false" customHeight="false" outlineLevel="0" collapsed="false">
      <c r="A95" s="22" t="s">
        <v>43</v>
      </c>
      <c r="B95" s="19"/>
      <c r="C95" s="21" t="n">
        <v>120758</v>
      </c>
      <c r="D95" s="21" t="n">
        <v>121501</v>
      </c>
      <c r="E95" s="21" t="n">
        <v>122576</v>
      </c>
      <c r="F95" s="21" t="n">
        <v>125010</v>
      </c>
      <c r="G95" s="21" t="n">
        <v>128200</v>
      </c>
      <c r="H95" s="21" t="n">
        <v>131791</v>
      </c>
      <c r="I95" s="21" t="n">
        <v>135414</v>
      </c>
      <c r="J95" s="21" t="n">
        <v>141111</v>
      </c>
      <c r="K95" s="21" t="n">
        <v>143901</v>
      </c>
      <c r="L95" s="21" t="n">
        <v>147470</v>
      </c>
      <c r="M95" s="21" t="n">
        <v>148992</v>
      </c>
      <c r="N95" s="21" t="n">
        <v>149991</v>
      </c>
      <c r="O95" s="21" t="n">
        <v>151087</v>
      </c>
      <c r="P95" s="61"/>
      <c r="Q95" s="61"/>
      <c r="R95" s="61"/>
      <c r="S95" s="61"/>
    </row>
    <row r="99" customFormat="false" ht="15" hidden="false" customHeight="false" outlineLevel="0" collapsed="false">
      <c r="A99" s="25" t="n">
        <v>2017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</row>
    <row r="100" customFormat="false" ht="15" hidden="false" customHeight="false" outlineLevel="0" collapsed="false">
      <c r="A100" s="25" t="s">
        <v>23</v>
      </c>
      <c r="B100" s="28" t="s">
        <v>24</v>
      </c>
      <c r="C100" s="62" t="s">
        <v>2</v>
      </c>
      <c r="D100" s="62" t="s">
        <v>3</v>
      </c>
      <c r="E100" s="62" t="s">
        <v>4</v>
      </c>
      <c r="F100" s="62" t="s">
        <v>5</v>
      </c>
      <c r="G100" s="62" t="s">
        <v>6</v>
      </c>
      <c r="H100" s="62" t="s">
        <v>7</v>
      </c>
      <c r="I100" s="62" t="s">
        <v>8</v>
      </c>
      <c r="J100" s="62" t="s">
        <v>9</v>
      </c>
      <c r="K100" s="62" t="s">
        <v>10</v>
      </c>
      <c r="L100" s="62" t="s">
        <v>11</v>
      </c>
      <c r="M100" s="62" t="s">
        <v>12</v>
      </c>
      <c r="N100" s="62" t="s">
        <v>13</v>
      </c>
      <c r="O100" s="28"/>
      <c r="P100" s="28"/>
      <c r="Q100" s="28"/>
      <c r="R100" s="28"/>
      <c r="S100" s="28"/>
    </row>
    <row r="101" customFormat="false" ht="12.75" hidden="false" customHeight="false" outlineLevel="0" collapsed="false">
      <c r="A101" s="28"/>
      <c r="B101" s="28"/>
      <c r="C101" s="29" t="n">
        <v>42744</v>
      </c>
      <c r="D101" s="29" t="n">
        <v>42767</v>
      </c>
      <c r="E101" s="29" t="n">
        <v>42800</v>
      </c>
      <c r="F101" s="29" t="n">
        <v>42826</v>
      </c>
      <c r="G101" s="29" t="n">
        <v>42857</v>
      </c>
      <c r="H101" s="29" t="n">
        <v>42887</v>
      </c>
      <c r="I101" s="29" t="n">
        <v>42917</v>
      </c>
      <c r="J101" s="29" t="n">
        <v>42948</v>
      </c>
      <c r="K101" s="29" t="n">
        <v>42979</v>
      </c>
      <c r="L101" s="29" t="n">
        <v>43012</v>
      </c>
      <c r="M101" s="29" t="n">
        <v>43041</v>
      </c>
      <c r="N101" s="29" t="n">
        <v>43070</v>
      </c>
      <c r="O101" s="29" t="n">
        <v>43100</v>
      </c>
      <c r="P101" s="28"/>
      <c r="Q101" s="28"/>
      <c r="R101" s="28"/>
      <c r="S101" s="28"/>
    </row>
    <row r="102" customFormat="false" ht="12.75" hidden="false" customHeight="false" outlineLevel="0" collapsed="false">
      <c r="A102" s="31" t="s">
        <v>44</v>
      </c>
      <c r="B102" s="28"/>
      <c r="C102" s="30" t="n">
        <v>478833</v>
      </c>
      <c r="D102" s="30" t="n">
        <v>480973.6</v>
      </c>
      <c r="E102" s="30" t="n">
        <v>483962</v>
      </c>
      <c r="F102" s="30" t="n">
        <v>486188.7</v>
      </c>
      <c r="G102" s="30" t="n">
        <v>487977.2</v>
      </c>
      <c r="H102" s="30" t="n">
        <v>490003</v>
      </c>
      <c r="I102" s="30" t="n">
        <v>491737.3</v>
      </c>
      <c r="J102" s="30" t="n">
        <v>493114</v>
      </c>
      <c r="K102" s="30" t="n">
        <v>494709</v>
      </c>
      <c r="L102" s="30" t="n">
        <v>497254.2</v>
      </c>
      <c r="M102" s="30" t="n">
        <v>499155.4</v>
      </c>
      <c r="N102" s="30" t="n">
        <v>501743.9</v>
      </c>
      <c r="O102" s="30" t="n">
        <v>505013.1</v>
      </c>
      <c r="P102" s="28"/>
      <c r="Q102" s="28"/>
      <c r="R102" s="28"/>
      <c r="S102" s="28"/>
    </row>
    <row r="103" customFormat="false" ht="12.75" hidden="false" customHeight="false" outlineLevel="0" collapsed="false">
      <c r="A103" s="28" t="s">
        <v>28</v>
      </c>
      <c r="B103" s="28"/>
      <c r="C103" s="30" t="n">
        <v>288548.5</v>
      </c>
      <c r="D103" s="30" t="n">
        <v>290141.2</v>
      </c>
      <c r="E103" s="30" t="n">
        <v>292307.3</v>
      </c>
      <c r="F103" s="30" t="n">
        <v>293846.9</v>
      </c>
      <c r="G103" s="30" t="n">
        <v>295073.8</v>
      </c>
      <c r="H103" s="30" t="n">
        <v>296412.4</v>
      </c>
      <c r="I103" s="30" t="n">
        <v>297531</v>
      </c>
      <c r="J103" s="30" t="n">
        <v>298450.4</v>
      </c>
      <c r="K103" s="30" t="n">
        <v>299518</v>
      </c>
      <c r="L103" s="30" t="n">
        <v>301189.1</v>
      </c>
      <c r="M103" s="30" t="n">
        <v>302446.1</v>
      </c>
      <c r="N103" s="30" t="n">
        <v>304241.1</v>
      </c>
      <c r="O103" s="30" t="n">
        <v>306568</v>
      </c>
      <c r="P103" s="28"/>
      <c r="Q103" s="28"/>
      <c r="R103" s="28"/>
      <c r="S103" s="28"/>
    </row>
    <row r="104" customFormat="false" ht="12.75" hidden="false" customHeight="false" outlineLevel="0" collapsed="false">
      <c r="A104" s="28" t="s">
        <v>29</v>
      </c>
      <c r="B104" s="28"/>
      <c r="C104" s="30" t="n">
        <v>45600.9</v>
      </c>
      <c r="D104" s="30" t="n">
        <v>45980.9</v>
      </c>
      <c r="E104" s="30" t="n">
        <v>45980.9</v>
      </c>
      <c r="F104" s="30" t="n">
        <v>45980.9</v>
      </c>
      <c r="G104" s="30" t="n">
        <v>45980.9</v>
      </c>
      <c r="H104" s="30" t="n">
        <v>45980.9</v>
      </c>
      <c r="I104" s="30" t="n">
        <v>45980.9</v>
      </c>
      <c r="J104" s="30" t="n">
        <v>45980.9</v>
      </c>
      <c r="K104" s="30" t="n">
        <v>45980.9</v>
      </c>
      <c r="L104" s="30" t="n">
        <v>45980.9</v>
      </c>
      <c r="M104" s="30" t="n">
        <v>45980.9</v>
      </c>
      <c r="N104" s="30" t="n">
        <v>45980.9</v>
      </c>
      <c r="O104" s="30" t="n">
        <v>45980.9</v>
      </c>
      <c r="P104" s="28"/>
      <c r="Q104" s="28"/>
      <c r="R104" s="28"/>
      <c r="S104" s="28"/>
    </row>
    <row r="105" customFormat="false" ht="12.75" hidden="false" customHeight="false" outlineLevel="0" collapsed="false">
      <c r="A105" s="28" t="s">
        <v>30</v>
      </c>
      <c r="B105" s="28"/>
      <c r="C105" s="63" t="n">
        <v>55285.4</v>
      </c>
      <c r="D105" s="30" t="n">
        <v>55323.7</v>
      </c>
      <c r="E105" s="30" t="n">
        <v>55323.7</v>
      </c>
      <c r="F105" s="30" t="n">
        <v>55323.7</v>
      </c>
      <c r="G105" s="30" t="n">
        <v>55323.7</v>
      </c>
      <c r="H105" s="30" t="n">
        <v>55323.7</v>
      </c>
      <c r="I105" s="30" t="n">
        <v>55323.7</v>
      </c>
      <c r="J105" s="30" t="n">
        <v>55323.7</v>
      </c>
      <c r="K105" s="30" t="n">
        <v>55323.7</v>
      </c>
      <c r="L105" s="30" t="n">
        <v>55323.7</v>
      </c>
      <c r="M105" s="30" t="n">
        <v>55323.7</v>
      </c>
      <c r="N105" s="30" t="n">
        <v>55323.7</v>
      </c>
      <c r="O105" s="30" t="n">
        <v>55323.7</v>
      </c>
      <c r="P105" s="28"/>
      <c r="Q105" s="28"/>
      <c r="R105" s="28"/>
      <c r="S105" s="28"/>
    </row>
    <row r="106" customFormat="false" ht="12.75" hidden="false" customHeight="false" outlineLevel="0" collapsed="false">
      <c r="A106" s="23" t="s">
        <v>31</v>
      </c>
      <c r="B106" s="2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 t="s">
        <v>32</v>
      </c>
      <c r="Q106" s="23"/>
      <c r="R106" s="23"/>
      <c r="S106" s="23"/>
    </row>
    <row r="107" customFormat="false" ht="12.75" hidden="false" customHeight="false" outlineLevel="0" collapsed="false">
      <c r="A107" s="28" t="s">
        <v>33</v>
      </c>
      <c r="B107" s="28"/>
      <c r="C107" s="30" t="n">
        <v>8581.86</v>
      </c>
      <c r="D107" s="30" t="n">
        <v>8633.3</v>
      </c>
      <c r="E107" s="30" t="n">
        <v>8708.95</v>
      </c>
      <c r="F107" s="30" t="n">
        <v>8782.23</v>
      </c>
      <c r="G107" s="30" t="n">
        <v>8831.75</v>
      </c>
      <c r="H107" s="30" t="n">
        <v>8907</v>
      </c>
      <c r="I107" s="30" t="n">
        <v>8962.99</v>
      </c>
      <c r="J107" s="30" t="n">
        <v>9011.51</v>
      </c>
      <c r="K107" s="30" t="n">
        <v>9070.75</v>
      </c>
      <c r="L107" s="30" t="n">
        <v>9144.5</v>
      </c>
      <c r="M107" s="30" t="n">
        <v>9200.22</v>
      </c>
      <c r="N107" s="30" t="n">
        <v>9268.11</v>
      </c>
      <c r="O107" s="30" t="n">
        <v>9336.33</v>
      </c>
      <c r="P107" s="28"/>
      <c r="Q107" s="28"/>
      <c r="R107" s="28"/>
      <c r="S107" s="28"/>
    </row>
    <row r="108" customFormat="false" ht="12.75" hidden="false" customHeight="false" outlineLevel="0" collapsed="false">
      <c r="A108" s="28" t="s">
        <v>34</v>
      </c>
      <c r="B108" s="28"/>
      <c r="C108" s="30" t="n">
        <v>3622.1</v>
      </c>
      <c r="D108" s="30" t="n">
        <v>3645.5</v>
      </c>
      <c r="E108" s="30" t="n">
        <v>3675.7</v>
      </c>
      <c r="F108" s="30" t="n">
        <v>3701.98</v>
      </c>
      <c r="G108" s="30" t="n">
        <v>3718.84</v>
      </c>
      <c r="H108" s="30" t="n">
        <v>3744.9</v>
      </c>
      <c r="I108" s="30" t="n">
        <v>3764.55</v>
      </c>
      <c r="J108" s="30" t="n">
        <v>3782.52</v>
      </c>
      <c r="K108" s="30" t="n">
        <v>3801.42</v>
      </c>
      <c r="L108" s="30" t="n">
        <v>3830.97</v>
      </c>
      <c r="M108" s="30" t="n">
        <v>3852.03</v>
      </c>
      <c r="N108" s="30" t="n">
        <v>3878.55</v>
      </c>
      <c r="O108" s="30" t="n">
        <v>3907.42</v>
      </c>
      <c r="P108" s="28"/>
      <c r="Q108" s="28"/>
      <c r="R108" s="28"/>
      <c r="S108" s="28"/>
    </row>
    <row r="109" customFormat="false" ht="12.75" hidden="false" customHeight="false" outlineLevel="0" collapsed="false">
      <c r="A109" s="28" t="s">
        <v>35</v>
      </c>
      <c r="B109" s="28"/>
      <c r="C109" s="30" t="n">
        <v>18957.3</v>
      </c>
      <c r="D109" s="30" t="n">
        <v>19764.4</v>
      </c>
      <c r="E109" s="30" t="n">
        <v>20892.4</v>
      </c>
      <c r="F109" s="30" t="n">
        <v>21786.5</v>
      </c>
      <c r="G109" s="30" t="n">
        <v>22403.8</v>
      </c>
      <c r="H109" s="30" t="n">
        <v>23207.3</v>
      </c>
      <c r="I109" s="30" t="n">
        <v>23771.7</v>
      </c>
      <c r="J109" s="30" t="n">
        <v>24179.5</v>
      </c>
      <c r="K109" s="30" t="n">
        <v>24693.5</v>
      </c>
      <c r="L109" s="30" t="n">
        <v>25610.2</v>
      </c>
      <c r="M109" s="30" t="n">
        <v>26429.1</v>
      </c>
      <c r="N109" s="30" t="n">
        <v>27430.5</v>
      </c>
      <c r="O109" s="30" t="n">
        <v>28556.8</v>
      </c>
      <c r="P109" s="28"/>
      <c r="Q109" s="28"/>
      <c r="R109" s="28"/>
      <c r="S109" s="28"/>
    </row>
    <row r="110" customFormat="false" ht="12.75" hidden="false" customHeight="false" outlineLevel="0" collapsed="false">
      <c r="A110" s="23" t="s">
        <v>39</v>
      </c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 t="s">
        <v>32</v>
      </c>
      <c r="Q110" s="23"/>
      <c r="R110" s="23"/>
      <c r="S110" s="23"/>
    </row>
    <row r="111" customFormat="false" ht="12.75" hidden="false" customHeight="false" outlineLevel="0" collapsed="false">
      <c r="A111" s="28" t="s">
        <v>40</v>
      </c>
      <c r="B111" s="28"/>
      <c r="C111" s="30" t="n">
        <v>155102.4</v>
      </c>
      <c r="D111" s="30" t="n">
        <v>156630.5</v>
      </c>
      <c r="E111" s="30" t="n">
        <v>158942.1</v>
      </c>
      <c r="F111" s="30" t="n">
        <v>160775</v>
      </c>
      <c r="G111" s="30" t="n">
        <v>162830.6</v>
      </c>
      <c r="H111" s="30" t="n">
        <v>164561.1</v>
      </c>
      <c r="I111" s="30" t="n">
        <v>166100.5</v>
      </c>
      <c r="J111" s="30" t="n">
        <v>167417.6</v>
      </c>
      <c r="K111" s="30" t="n">
        <v>168714.5</v>
      </c>
      <c r="L111" s="30" t="n">
        <v>170806.5</v>
      </c>
      <c r="M111" s="30" t="n">
        <v>172428.3</v>
      </c>
      <c r="N111" s="30" t="n">
        <v>174316</v>
      </c>
      <c r="O111" s="30" t="n">
        <v>176200.9</v>
      </c>
      <c r="P111" s="28"/>
      <c r="Q111" s="28"/>
      <c r="R111" s="28"/>
      <c r="S111" s="28"/>
    </row>
    <row r="112" customFormat="false" ht="12.75" hidden="false" customHeight="false" outlineLevel="0" collapsed="false">
      <c r="A112" s="31" t="s">
        <v>41</v>
      </c>
      <c r="B112" s="28"/>
      <c r="C112" s="30" t="n">
        <v>463790</v>
      </c>
      <c r="D112" s="30" t="n">
        <v>481520</v>
      </c>
      <c r="E112" s="30" t="n">
        <v>503217</v>
      </c>
      <c r="F112" s="30" t="n">
        <v>522577</v>
      </c>
      <c r="G112" s="30" t="n">
        <v>541399</v>
      </c>
      <c r="H112" s="30" t="n">
        <v>554237</v>
      </c>
      <c r="I112" s="30" t="n">
        <v>561826</v>
      </c>
      <c r="J112" s="30" t="n">
        <v>566234</v>
      </c>
      <c r="K112" s="30" t="n">
        <v>571853</v>
      </c>
      <c r="L112" s="30" t="n">
        <v>589160</v>
      </c>
      <c r="M112" s="30" t="n">
        <v>603798</v>
      </c>
      <c r="N112" s="30" t="n">
        <v>626297</v>
      </c>
      <c r="O112" s="30" t="n">
        <v>657804</v>
      </c>
      <c r="P112" s="28"/>
      <c r="Q112" s="28"/>
      <c r="R112" s="28"/>
      <c r="S112" s="28"/>
    </row>
    <row r="113" customFormat="false" ht="13.8" hidden="false" customHeight="false" outlineLevel="0" collapsed="false">
      <c r="A113" s="64" t="s">
        <v>42</v>
      </c>
      <c r="B113" s="28"/>
      <c r="C113" s="30" t="n">
        <v>1635.8</v>
      </c>
      <c r="D113" s="30" t="n">
        <v>1680.1</v>
      </c>
      <c r="E113" s="30" t="n">
        <v>1750.2</v>
      </c>
      <c r="F113" s="30" t="n">
        <v>1802.6</v>
      </c>
      <c r="G113" s="30" t="n">
        <v>1879.8</v>
      </c>
      <c r="H113" s="30" t="n">
        <v>1921.3</v>
      </c>
      <c r="I113" s="30" t="n">
        <v>1956.2</v>
      </c>
      <c r="J113" s="30" t="n">
        <v>1971.7</v>
      </c>
      <c r="K113" s="30" t="n">
        <v>1998.7</v>
      </c>
      <c r="L113" s="30" t="n">
        <v>2055.4</v>
      </c>
      <c r="M113" s="30" t="n">
        <v>2098.8</v>
      </c>
      <c r="N113" s="30" t="n">
        <v>2160.2</v>
      </c>
      <c r="O113" s="30" t="n">
        <v>2280.6</v>
      </c>
      <c r="P113" s="28"/>
      <c r="Q113" s="28"/>
      <c r="R113" s="28"/>
      <c r="S113" s="28"/>
    </row>
    <row r="114" customFormat="false" ht="12.75" hidden="false" customHeight="false" outlineLevel="0" collapsed="false">
      <c r="A114" s="31" t="s">
        <v>43</v>
      </c>
      <c r="B114" s="28"/>
      <c r="C114" s="30" t="n">
        <v>151087</v>
      </c>
      <c r="D114" s="30" t="n">
        <v>152047</v>
      </c>
      <c r="E114" s="30" t="n">
        <v>153993</v>
      </c>
      <c r="F114" s="30" t="n">
        <v>156815</v>
      </c>
      <c r="G114" s="30" t="n">
        <v>160202</v>
      </c>
      <c r="H114" s="30" t="n">
        <v>164231</v>
      </c>
      <c r="I114" s="30" t="n">
        <v>168987</v>
      </c>
      <c r="J114" s="30" t="n">
        <v>171900</v>
      </c>
      <c r="K114" s="30" t="n">
        <v>176087</v>
      </c>
      <c r="L114" s="30" t="n">
        <v>179385</v>
      </c>
      <c r="M114" s="30" t="n">
        <v>181151</v>
      </c>
      <c r="N114" s="30" t="n">
        <v>181754</v>
      </c>
      <c r="O114" s="30" t="n">
        <v>182383</v>
      </c>
      <c r="P114" s="65"/>
      <c r="Q114" s="65"/>
      <c r="R114" s="65"/>
      <c r="S114" s="65"/>
    </row>
    <row r="118" customFormat="false" ht="15" hidden="false" customHeight="false" outlineLevel="0" collapsed="false">
      <c r="A118" s="32" t="n">
        <v>2018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</row>
    <row r="119" customFormat="false" ht="15" hidden="false" customHeight="false" outlineLevel="0" collapsed="false">
      <c r="A119" s="32" t="s">
        <v>23</v>
      </c>
      <c r="B119" s="35" t="s">
        <v>24</v>
      </c>
      <c r="C119" s="66" t="s">
        <v>2</v>
      </c>
      <c r="D119" s="66" t="s">
        <v>3</v>
      </c>
      <c r="E119" s="66" t="s">
        <v>4</v>
      </c>
      <c r="F119" s="66" t="s">
        <v>5</v>
      </c>
      <c r="G119" s="66" t="s">
        <v>6</v>
      </c>
      <c r="H119" s="66" t="s">
        <v>7</v>
      </c>
      <c r="I119" s="66" t="s">
        <v>8</v>
      </c>
      <c r="J119" s="66" t="s">
        <v>9</v>
      </c>
      <c r="K119" s="66" t="s">
        <v>10</v>
      </c>
      <c r="L119" s="66" t="s">
        <v>11</v>
      </c>
      <c r="M119" s="66" t="s">
        <v>12</v>
      </c>
      <c r="N119" s="66" t="s">
        <v>13</v>
      </c>
      <c r="O119" s="35"/>
      <c r="P119" s="35"/>
      <c r="Q119" s="35"/>
      <c r="R119" s="35"/>
      <c r="S119" s="35"/>
    </row>
    <row r="120" customFormat="false" ht="12.75" hidden="false" customHeight="false" outlineLevel="0" collapsed="false">
      <c r="A120" s="35"/>
      <c r="B120" s="35"/>
      <c r="C120" s="36" t="n">
        <v>43109</v>
      </c>
      <c r="D120" s="36" t="n">
        <v>43132</v>
      </c>
      <c r="E120" s="36" t="n">
        <v>43160</v>
      </c>
      <c r="F120" s="36" t="n">
        <v>43193</v>
      </c>
      <c r="G120" s="36" t="n">
        <v>43222</v>
      </c>
      <c r="H120" s="36" t="n">
        <v>43255</v>
      </c>
      <c r="I120" s="36" t="n">
        <v>43282</v>
      </c>
      <c r="J120" s="36" t="n">
        <v>43319</v>
      </c>
      <c r="K120" s="36" t="n">
        <v>43346</v>
      </c>
      <c r="L120" s="36" t="n">
        <v>43374</v>
      </c>
      <c r="M120" s="36" t="n">
        <v>43409</v>
      </c>
      <c r="N120" s="36" t="n">
        <v>43437</v>
      </c>
      <c r="O120" s="36" t="n">
        <v>43465</v>
      </c>
      <c r="P120" s="35"/>
      <c r="Q120" s="35"/>
      <c r="R120" s="35"/>
      <c r="S120" s="35"/>
    </row>
    <row r="121" customFormat="false" ht="12.75" hidden="false" customHeight="false" outlineLevel="0" collapsed="false">
      <c r="A121" s="38" t="s">
        <v>44</v>
      </c>
      <c r="B121" s="35"/>
      <c r="C121" s="37" t="n">
        <v>505013.1</v>
      </c>
      <c r="D121" s="37" t="n">
        <v>507305.3</v>
      </c>
      <c r="E121" s="37" t="n">
        <v>510054.8</v>
      </c>
      <c r="F121" s="37" t="n">
        <v>512738.9</v>
      </c>
      <c r="G121" s="37" t="n">
        <v>514437.7</v>
      </c>
      <c r="H121" s="37" t="n">
        <v>516326.5</v>
      </c>
      <c r="I121" s="37" t="n">
        <v>518116</v>
      </c>
      <c r="J121" s="37" t="n">
        <v>520037.6</v>
      </c>
      <c r="K121" s="37" t="n">
        <v>521170.1</v>
      </c>
      <c r="L121" s="37" t="n">
        <v>522749</v>
      </c>
      <c r="M121" s="37" t="n">
        <v>525122.2</v>
      </c>
      <c r="N121" s="37" t="n">
        <v>527532.9</v>
      </c>
      <c r="O121" s="37" t="n">
        <v>530248.3</v>
      </c>
      <c r="P121" s="35"/>
      <c r="Q121" s="35"/>
      <c r="R121" s="35"/>
      <c r="S121" s="35"/>
    </row>
    <row r="122" customFormat="false" ht="12.75" hidden="false" customHeight="false" outlineLevel="0" collapsed="false">
      <c r="A122" s="35" t="s">
        <v>28</v>
      </c>
      <c r="B122" s="35"/>
      <c r="C122" s="37" t="n">
        <v>306568</v>
      </c>
      <c r="D122" s="37" t="n">
        <v>308166.9</v>
      </c>
      <c r="E122" s="37" t="n">
        <v>310240.9</v>
      </c>
      <c r="F122" s="37" t="n">
        <v>312113.9</v>
      </c>
      <c r="G122" s="37" t="n">
        <v>313217.6</v>
      </c>
      <c r="H122" s="37" t="n">
        <v>314428</v>
      </c>
      <c r="I122" s="37" t="n">
        <v>315555</v>
      </c>
      <c r="J122" s="37" t="n">
        <v>316772.5</v>
      </c>
      <c r="K122" s="37" t="n">
        <v>317479.4</v>
      </c>
      <c r="L122" s="37" t="n">
        <v>318440.9</v>
      </c>
      <c r="M122" s="37" t="n">
        <v>320036.3</v>
      </c>
      <c r="N122" s="37" t="n">
        <v>321726</v>
      </c>
      <c r="O122" s="37" t="n">
        <v>323719.7</v>
      </c>
      <c r="P122" s="35"/>
      <c r="Q122" s="35"/>
      <c r="R122" s="35"/>
      <c r="S122" s="35"/>
    </row>
    <row r="123" customFormat="false" ht="12.75" hidden="false" customHeight="false" outlineLevel="0" collapsed="false">
      <c r="A123" s="35" t="s">
        <v>45</v>
      </c>
      <c r="B123" s="35"/>
      <c r="C123" s="37" t="n">
        <v>50681.3</v>
      </c>
      <c r="D123" s="37" t="n">
        <v>50681.3</v>
      </c>
      <c r="E123" s="37" t="n">
        <v>50681.3</v>
      </c>
      <c r="F123" s="37" t="n">
        <v>50681.3</v>
      </c>
      <c r="G123" s="37" t="n">
        <v>50681.3</v>
      </c>
      <c r="H123" s="37" t="n">
        <v>50681.3</v>
      </c>
      <c r="I123" s="37" t="n">
        <v>53330</v>
      </c>
      <c r="J123" s="37" t="n">
        <v>53330</v>
      </c>
      <c r="K123" s="37" t="n">
        <v>53330</v>
      </c>
      <c r="L123" s="37" t="n">
        <v>53330</v>
      </c>
      <c r="M123" s="37" t="n">
        <v>53330</v>
      </c>
      <c r="N123" s="37" t="n">
        <v>55843.9</v>
      </c>
      <c r="O123" s="37" t="n">
        <v>56389.1</v>
      </c>
      <c r="P123" s="35"/>
      <c r="Q123" s="35"/>
      <c r="R123" s="35"/>
      <c r="S123" s="35"/>
    </row>
    <row r="124" customFormat="false" ht="12.75" hidden="false" customHeight="false" outlineLevel="0" collapsed="false">
      <c r="A124" s="35" t="s">
        <v>30</v>
      </c>
      <c r="B124" s="35"/>
      <c r="C124" s="67" t="n">
        <v>55712.2</v>
      </c>
      <c r="D124" s="37" t="n">
        <v>55712.2</v>
      </c>
      <c r="E124" s="37" t="n">
        <v>55712.2</v>
      </c>
      <c r="F124" s="37" t="n">
        <v>55712.2</v>
      </c>
      <c r="G124" s="37" t="n">
        <v>55712.2</v>
      </c>
      <c r="H124" s="37" t="n">
        <v>55712.2</v>
      </c>
      <c r="I124" s="37" t="n">
        <v>55922</v>
      </c>
      <c r="J124" s="37" t="n">
        <v>55922</v>
      </c>
      <c r="K124" s="37" t="n">
        <v>55922</v>
      </c>
      <c r="L124" s="37" t="n">
        <v>55922</v>
      </c>
      <c r="M124" s="37" t="n">
        <v>55922</v>
      </c>
      <c r="N124" s="37" t="n">
        <v>56060.3</v>
      </c>
      <c r="O124" s="37" t="n">
        <v>56109.4</v>
      </c>
      <c r="P124" s="35"/>
      <c r="Q124" s="35"/>
      <c r="R124" s="35"/>
      <c r="S124" s="35"/>
    </row>
    <row r="125" customFormat="false" ht="12.75" hidden="false" customHeight="false" outlineLevel="0" collapsed="false">
      <c r="A125" s="35" t="s">
        <v>31</v>
      </c>
      <c r="B125" s="35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 t="s">
        <v>32</v>
      </c>
      <c r="Q125" s="35"/>
      <c r="R125" s="35"/>
      <c r="S125" s="35"/>
    </row>
    <row r="126" customFormat="false" ht="12.75" hidden="false" customHeight="false" outlineLevel="0" collapsed="false">
      <c r="A126" s="35" t="s">
        <v>33</v>
      </c>
      <c r="B126" s="35"/>
      <c r="C126" s="37" t="n">
        <v>9336.33</v>
      </c>
      <c r="D126" s="37" t="n">
        <v>9396.35</v>
      </c>
      <c r="E126" s="37" t="n">
        <v>9454.3</v>
      </c>
      <c r="F126" s="37" t="n">
        <v>9525.68</v>
      </c>
      <c r="G126" s="37" t="n">
        <v>9557.2</v>
      </c>
      <c r="H126" s="37" t="n">
        <v>9592.89</v>
      </c>
      <c r="I126" s="37" t="n">
        <v>9636.48</v>
      </c>
      <c r="J126" s="37" t="n">
        <v>9669.92</v>
      </c>
      <c r="K126" s="37" t="n">
        <v>9677.66</v>
      </c>
      <c r="L126" s="37" t="n">
        <v>9732.1</v>
      </c>
      <c r="M126" s="37" t="n">
        <v>9803.84</v>
      </c>
      <c r="N126" s="37" t="n">
        <v>9872.46</v>
      </c>
      <c r="O126" s="37" t="n">
        <v>9926.85</v>
      </c>
      <c r="P126" s="35"/>
      <c r="Q126" s="35"/>
      <c r="R126" s="35"/>
      <c r="S126" s="35"/>
    </row>
    <row r="127" customFormat="false" ht="12.75" hidden="false" customHeight="false" outlineLevel="0" collapsed="false">
      <c r="A127" s="35" t="s">
        <v>34</v>
      </c>
      <c r="B127" s="35"/>
      <c r="C127" s="37" t="n">
        <v>3907.42</v>
      </c>
      <c r="D127" s="37" t="n">
        <v>3930.05</v>
      </c>
      <c r="E127" s="37" t="n">
        <v>3950.8</v>
      </c>
      <c r="F127" s="37" t="n">
        <v>3976.65</v>
      </c>
      <c r="G127" s="37" t="n">
        <v>3993.9</v>
      </c>
      <c r="H127" s="37" t="n">
        <v>4014.25</v>
      </c>
      <c r="I127" s="37" t="n">
        <v>4034.75</v>
      </c>
      <c r="J127" s="37" t="n">
        <v>4058.17</v>
      </c>
      <c r="K127" s="37" t="n">
        <v>4068.59</v>
      </c>
      <c r="L127" s="37" t="n">
        <v>4090.2</v>
      </c>
      <c r="M127" s="37" t="n">
        <v>4117.42</v>
      </c>
      <c r="N127" s="37" t="n">
        <v>4144.08</v>
      </c>
      <c r="O127" s="37" t="n">
        <v>4168.27</v>
      </c>
      <c r="P127" s="35"/>
      <c r="Q127" s="35"/>
      <c r="R127" s="35"/>
      <c r="S127" s="35"/>
    </row>
    <row r="128" customFormat="false" ht="12.75" hidden="false" customHeight="false" outlineLevel="0" collapsed="false">
      <c r="A128" s="35" t="s">
        <v>35</v>
      </c>
      <c r="B128" s="35"/>
      <c r="C128" s="37" t="n">
        <v>28556.8</v>
      </c>
      <c r="D128" s="37" t="n">
        <v>29439.7</v>
      </c>
      <c r="E128" s="37" t="n">
        <v>30303.5</v>
      </c>
      <c r="F128" s="37" t="n">
        <v>31309.1</v>
      </c>
      <c r="G128" s="37" t="n">
        <v>32023.6</v>
      </c>
      <c r="H128" s="37" t="n">
        <v>32782.6</v>
      </c>
      <c r="I128" s="37" t="n">
        <v>33486.2</v>
      </c>
      <c r="J128" s="37" t="n">
        <v>34122</v>
      </c>
      <c r="K128" s="37" t="n">
        <v>34480.3</v>
      </c>
      <c r="L128" s="37" t="n">
        <v>35078.7</v>
      </c>
      <c r="M128" s="37" t="n">
        <v>36039.4</v>
      </c>
      <c r="N128" s="37" t="n">
        <v>37071</v>
      </c>
      <c r="O128" s="37" t="n">
        <v>38067.8</v>
      </c>
      <c r="P128" s="35"/>
      <c r="Q128" s="35"/>
      <c r="R128" s="35"/>
      <c r="S128" s="35"/>
    </row>
    <row r="129" customFormat="false" ht="12.75" hidden="false" customHeight="false" outlineLevel="0" collapsed="false">
      <c r="A129" s="35" t="s">
        <v>39</v>
      </c>
      <c r="B129" s="35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 t="s">
        <v>32</v>
      </c>
      <c r="Q129" s="35"/>
      <c r="R129" s="35"/>
      <c r="S129" s="35"/>
    </row>
    <row r="130" customFormat="false" ht="12.75" hidden="false" customHeight="false" outlineLevel="0" collapsed="false">
      <c r="A130" s="35" t="s">
        <v>40</v>
      </c>
      <c r="B130" s="35"/>
      <c r="C130" s="37" t="n">
        <v>176200.9</v>
      </c>
      <c r="D130" s="37" t="n">
        <v>177690.6</v>
      </c>
      <c r="E130" s="37" t="n">
        <v>178444.6</v>
      </c>
      <c r="F130" s="37" t="n">
        <v>179055.2</v>
      </c>
      <c r="G130" s="37" t="n">
        <v>179556.9</v>
      </c>
      <c r="H130" s="37" t="n">
        <v>180193</v>
      </c>
      <c r="I130" s="37" t="n">
        <v>180379</v>
      </c>
      <c r="J130" s="37" t="n">
        <v>181023.2</v>
      </c>
      <c r="K130" s="37" t="n">
        <v>181549.1</v>
      </c>
      <c r="L130" s="37" t="n">
        <v>181989.9</v>
      </c>
      <c r="M130" s="37" t="n">
        <v>182691.8</v>
      </c>
      <c r="N130" s="37" t="n">
        <v>183323.4</v>
      </c>
      <c r="O130" s="37" t="n">
        <v>184184.9</v>
      </c>
      <c r="P130" s="35"/>
      <c r="Q130" s="35"/>
      <c r="R130" s="35"/>
      <c r="S130" s="35"/>
    </row>
    <row r="131" customFormat="false" ht="12.75" hidden="false" customHeight="false" outlineLevel="0" collapsed="false">
      <c r="A131" s="38" t="s">
        <v>41</v>
      </c>
      <c r="B131" s="35"/>
      <c r="C131" s="37" t="n">
        <v>657804</v>
      </c>
      <c r="D131" s="37" t="n">
        <v>676859</v>
      </c>
      <c r="E131" s="37" t="n">
        <v>698940</v>
      </c>
      <c r="F131" s="37" t="n">
        <v>722461</v>
      </c>
      <c r="G131" s="37" t="n">
        <v>729343</v>
      </c>
      <c r="H131" s="37" t="n">
        <v>736877</v>
      </c>
      <c r="I131" s="37" t="n">
        <v>742613</v>
      </c>
      <c r="J131" s="37" t="n">
        <v>750189</v>
      </c>
      <c r="K131" s="37" t="n">
        <v>755718</v>
      </c>
      <c r="L131" s="37" t="n">
        <v>762147</v>
      </c>
      <c r="M131" s="37" t="n">
        <v>776070</v>
      </c>
      <c r="N131" s="37" t="n">
        <v>798377</v>
      </c>
      <c r="O131" s="37" t="n">
        <v>826361</v>
      </c>
      <c r="P131" s="35"/>
      <c r="Q131" s="35"/>
      <c r="R131" s="35"/>
      <c r="S131" s="35"/>
    </row>
    <row r="132" customFormat="false" ht="13.8" hidden="false" customHeight="false" outlineLevel="0" collapsed="false">
      <c r="A132" s="68" t="s">
        <v>42</v>
      </c>
      <c r="B132" s="35"/>
      <c r="C132" s="37" t="n">
        <v>2280.6</v>
      </c>
      <c r="D132" s="37" t="n">
        <v>2329.7</v>
      </c>
      <c r="E132" s="37" t="n">
        <v>2400.2</v>
      </c>
      <c r="F132" s="37" t="n">
        <v>2477.8</v>
      </c>
      <c r="G132" s="37" t="n">
        <v>2498.4</v>
      </c>
      <c r="H132" s="37" t="n">
        <v>2532.8</v>
      </c>
      <c r="I132" s="37" t="n">
        <v>2554</v>
      </c>
      <c r="J132" s="37" t="n">
        <v>2591</v>
      </c>
      <c r="K132" s="37" t="n">
        <v>2623</v>
      </c>
      <c r="L132" s="37" t="n">
        <v>2648.7</v>
      </c>
      <c r="M132" s="37" t="n">
        <v>2700.8</v>
      </c>
      <c r="N132" s="37" t="n">
        <v>2766.7</v>
      </c>
      <c r="O132" s="37" t="n">
        <v>2882.8</v>
      </c>
      <c r="P132" s="35"/>
      <c r="Q132" s="35"/>
      <c r="R132" s="35"/>
      <c r="S132" s="35"/>
    </row>
    <row r="133" customFormat="false" ht="12.75" hidden="false" customHeight="false" outlineLevel="0" collapsed="false">
      <c r="A133" s="38" t="s">
        <v>43</v>
      </c>
      <c r="B133" s="35"/>
      <c r="C133" s="37" t="n">
        <v>182383</v>
      </c>
      <c r="D133" s="37" t="n">
        <v>182999</v>
      </c>
      <c r="E133" s="37" t="n">
        <v>184623</v>
      </c>
      <c r="F133" s="37" t="n">
        <v>187137</v>
      </c>
      <c r="G133" s="37" t="n">
        <v>190813</v>
      </c>
      <c r="H133" s="37" t="n">
        <v>195529</v>
      </c>
      <c r="I133" s="37" t="n">
        <v>199455</v>
      </c>
      <c r="J133" s="37" t="n">
        <v>204459</v>
      </c>
      <c r="K133" s="37" t="n">
        <v>207476</v>
      </c>
      <c r="L133" s="37" t="n">
        <v>210747</v>
      </c>
      <c r="M133" s="37" t="n">
        <v>213377</v>
      </c>
      <c r="N133" s="37" t="n">
        <v>214398</v>
      </c>
      <c r="O133" s="37" t="n">
        <v>214871</v>
      </c>
      <c r="P133" s="69"/>
      <c r="Q133" s="69"/>
      <c r="R133" s="69"/>
      <c r="S133" s="69"/>
    </row>
    <row r="136" customFormat="false" ht="15" hidden="false" customHeight="false" outlineLevel="0" collapsed="false">
      <c r="A136" s="16" t="n">
        <v>2019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customFormat="false" ht="15" hidden="false" customHeight="false" outlineLevel="0" collapsed="false">
      <c r="A137" s="16" t="s">
        <v>23</v>
      </c>
      <c r="B137" s="19" t="s">
        <v>24</v>
      </c>
      <c r="C137" s="59" t="s">
        <v>2</v>
      </c>
      <c r="D137" s="59" t="s">
        <v>3</v>
      </c>
      <c r="E137" s="59" t="s">
        <v>4</v>
      </c>
      <c r="F137" s="59" t="s">
        <v>5</v>
      </c>
      <c r="G137" s="59" t="s">
        <v>6</v>
      </c>
      <c r="H137" s="59" t="s">
        <v>7</v>
      </c>
      <c r="I137" s="59" t="s">
        <v>8</v>
      </c>
      <c r="J137" s="59" t="s">
        <v>9</v>
      </c>
      <c r="K137" s="59" t="s">
        <v>10</v>
      </c>
      <c r="L137" s="59" t="s">
        <v>11</v>
      </c>
      <c r="M137" s="59" t="s">
        <v>12</v>
      </c>
      <c r="N137" s="59" t="s">
        <v>13</v>
      </c>
      <c r="O137" s="19"/>
      <c r="P137" s="19"/>
      <c r="Q137" s="19"/>
      <c r="R137" s="19"/>
      <c r="S137" s="19"/>
    </row>
    <row r="138" customFormat="false" ht="12.75" hidden="false" customHeight="false" outlineLevel="0" collapsed="false">
      <c r="A138" s="19"/>
      <c r="B138" s="19"/>
      <c r="C138" s="20" t="n">
        <v>43472</v>
      </c>
      <c r="D138" s="20" t="n">
        <v>43497</v>
      </c>
      <c r="E138" s="20" t="n">
        <v>43525</v>
      </c>
      <c r="F138" s="20" t="n">
        <v>43556</v>
      </c>
      <c r="G138" s="20" t="n">
        <v>43587</v>
      </c>
      <c r="H138" s="20" t="n">
        <v>43619</v>
      </c>
      <c r="I138" s="20" t="n">
        <v>43647</v>
      </c>
      <c r="J138" s="20" t="n">
        <v>43691</v>
      </c>
      <c r="K138" s="20" t="n">
        <v>43718</v>
      </c>
      <c r="L138" s="20" t="n">
        <v>43739</v>
      </c>
      <c r="M138" s="20" t="n">
        <v>43770</v>
      </c>
      <c r="N138" s="20" t="n">
        <v>43804</v>
      </c>
      <c r="O138" s="20" t="n">
        <v>43100</v>
      </c>
      <c r="P138" s="19"/>
      <c r="Q138" s="19"/>
      <c r="R138" s="19"/>
      <c r="S138" s="19"/>
    </row>
    <row r="139" customFormat="false" ht="12.75" hidden="false" customHeight="false" outlineLevel="0" collapsed="false">
      <c r="A139" s="22" t="s">
        <v>44</v>
      </c>
      <c r="B139" s="19"/>
      <c r="C139" s="21" t="n">
        <v>530248.3</v>
      </c>
      <c r="D139" s="21" t="n">
        <v>532598</v>
      </c>
      <c r="E139" s="21" t="n">
        <v>534931.7</v>
      </c>
      <c r="F139" s="21" t="n">
        <v>537088.7</v>
      </c>
      <c r="G139" s="21" t="n">
        <v>539050.8</v>
      </c>
      <c r="H139" s="21" t="n">
        <v>541237.3</v>
      </c>
      <c r="I139" s="21" t="n">
        <v>542528.7</v>
      </c>
      <c r="J139" s="21" t="n">
        <v>544731.8</v>
      </c>
      <c r="K139" s="21" t="n">
        <v>546073.1</v>
      </c>
      <c r="L139" s="21" t="n">
        <v>547582.3</v>
      </c>
      <c r="M139" s="21" t="n">
        <v>549584</v>
      </c>
      <c r="N139" s="21" t="n">
        <v>553231.2</v>
      </c>
      <c r="O139" s="21" t="n">
        <v>554499.7</v>
      </c>
      <c r="P139" s="19"/>
      <c r="Q139" s="19"/>
      <c r="R139" s="19"/>
      <c r="S139" s="19"/>
    </row>
    <row r="140" customFormat="false" ht="12.75" hidden="false" customHeight="false" outlineLevel="0" collapsed="false">
      <c r="A140" s="19" t="s">
        <v>28</v>
      </c>
      <c r="B140" s="19"/>
      <c r="C140" s="21" t="n">
        <v>323719.7</v>
      </c>
      <c r="D140" s="21" t="n">
        <v>325405.8</v>
      </c>
      <c r="E140" s="21" t="n">
        <v>327067.3</v>
      </c>
      <c r="F140" s="21" t="n">
        <v>328587.1</v>
      </c>
      <c r="G140" s="21" t="n">
        <v>329985.8</v>
      </c>
      <c r="H140" s="21" t="n">
        <v>331499.4</v>
      </c>
      <c r="I140" s="21" t="n">
        <v>332384.8</v>
      </c>
      <c r="J140" s="21" t="n">
        <v>333848.2</v>
      </c>
      <c r="K140" s="21" t="n">
        <v>334785.3</v>
      </c>
      <c r="L140" s="21" t="n">
        <v>335787.3</v>
      </c>
      <c r="M140" s="21" t="n">
        <v>337177.2</v>
      </c>
      <c r="N140" s="21" t="n">
        <v>339801.4</v>
      </c>
      <c r="O140" s="21" t="n">
        <v>340715.6</v>
      </c>
      <c r="P140" s="19"/>
      <c r="Q140" s="19"/>
      <c r="R140" s="19"/>
      <c r="S140" s="19"/>
    </row>
    <row r="141" customFormat="false" ht="12.75" hidden="false" customHeight="false" outlineLevel="0" collapsed="false">
      <c r="A141" s="19" t="s">
        <v>45</v>
      </c>
      <c r="B141" s="19"/>
      <c r="C141" s="21" t="n">
        <v>56389.1</v>
      </c>
      <c r="D141" s="21" t="n">
        <v>56389.1</v>
      </c>
      <c r="E141" s="21" t="n">
        <v>56389.1</v>
      </c>
      <c r="F141" s="21" t="n">
        <v>56389.1</v>
      </c>
      <c r="G141" s="21" t="n">
        <v>56389.1</v>
      </c>
      <c r="H141" s="21" t="n">
        <v>56389.1</v>
      </c>
      <c r="I141" s="21" t="n">
        <v>59403.2</v>
      </c>
      <c r="J141" s="21" t="n">
        <v>60095.6</v>
      </c>
      <c r="K141" s="21" t="n">
        <v>60425.2</v>
      </c>
      <c r="L141" s="21" t="n">
        <v>60786</v>
      </c>
      <c r="M141" s="21" t="n">
        <v>60786</v>
      </c>
      <c r="N141" s="21" t="n">
        <v>60786</v>
      </c>
      <c r="O141" s="21" t="n">
        <v>62284</v>
      </c>
      <c r="P141" s="19"/>
      <c r="Q141" s="19"/>
      <c r="R141" s="19"/>
      <c r="S141" s="19"/>
    </row>
    <row r="142" customFormat="false" ht="12.75" hidden="false" customHeight="false" outlineLevel="0" collapsed="false">
      <c r="A142" s="19" t="s">
        <v>30</v>
      </c>
      <c r="B142" s="19"/>
      <c r="C142" s="70" t="n">
        <v>56109.4</v>
      </c>
      <c r="D142" s="21" t="n">
        <v>56109.4</v>
      </c>
      <c r="E142" s="21" t="n">
        <v>56109.4</v>
      </c>
      <c r="F142" s="21" t="n">
        <v>56109.4</v>
      </c>
      <c r="G142" s="21" t="n">
        <v>56109.4</v>
      </c>
      <c r="H142" s="21" t="n">
        <v>56109.4</v>
      </c>
      <c r="I142" s="21" t="n">
        <v>56317.1</v>
      </c>
      <c r="J142" s="21" t="n">
        <v>56342.8</v>
      </c>
      <c r="K142" s="21" t="n">
        <v>56358.3</v>
      </c>
      <c r="L142" s="21" t="n">
        <v>56376.2</v>
      </c>
      <c r="M142" s="21" t="n">
        <v>56376.2</v>
      </c>
      <c r="N142" s="21" t="n">
        <v>56376.2</v>
      </c>
      <c r="O142" s="21" t="n">
        <v>56483.3</v>
      </c>
      <c r="P142" s="19"/>
      <c r="Q142" s="19"/>
      <c r="R142" s="19"/>
      <c r="S142" s="19"/>
    </row>
    <row r="143" customFormat="false" ht="12.75" hidden="false" customHeight="false" outlineLevel="0" collapsed="false">
      <c r="A143" s="19" t="s">
        <v>31</v>
      </c>
      <c r="B143" s="19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 t="s">
        <v>32</v>
      </c>
      <c r="Q143" s="19"/>
      <c r="R143" s="19"/>
      <c r="S143" s="19"/>
    </row>
    <row r="144" customFormat="false" ht="12.75" hidden="false" customHeight="false" outlineLevel="0" collapsed="false">
      <c r="A144" s="19" t="s">
        <v>33</v>
      </c>
      <c r="B144" s="19"/>
      <c r="C144" s="21" t="n">
        <v>9926.85</v>
      </c>
      <c r="D144" s="21" t="n">
        <v>9987.05</v>
      </c>
      <c r="E144" s="21" t="n">
        <v>10054.93</v>
      </c>
      <c r="F144" s="21" t="n">
        <v>10111.87</v>
      </c>
      <c r="G144" s="21" t="n">
        <v>10162.16</v>
      </c>
      <c r="H144" s="21" t="n">
        <v>10234.1</v>
      </c>
      <c r="I144" s="21" t="n">
        <v>10268.74</v>
      </c>
      <c r="J144" s="21" t="n">
        <v>10363.7</v>
      </c>
      <c r="K144" s="21" t="n">
        <v>10378.89</v>
      </c>
      <c r="L144" s="21" t="n">
        <v>10425.9</v>
      </c>
      <c r="M144" s="21" t="n">
        <v>10479.7</v>
      </c>
      <c r="N144" s="21" t="n">
        <v>10559.74</v>
      </c>
      <c r="O144" s="21" t="n">
        <v>10587.25</v>
      </c>
      <c r="P144" s="19"/>
      <c r="Q144" s="19"/>
      <c r="R144" s="19"/>
      <c r="S144" s="19"/>
    </row>
    <row r="145" customFormat="false" ht="12.75" hidden="false" customHeight="false" outlineLevel="0" collapsed="false">
      <c r="A145" s="19" t="s">
        <v>34</v>
      </c>
      <c r="B145" s="19"/>
      <c r="C145" s="21" t="n">
        <v>4168.27</v>
      </c>
      <c r="D145" s="21" t="n">
        <v>4194.79</v>
      </c>
      <c r="E145" s="21" t="n">
        <v>4221.5</v>
      </c>
      <c r="F145" s="21" t="n">
        <v>4249.31</v>
      </c>
      <c r="G145" s="21" t="n">
        <v>4279.87</v>
      </c>
      <c r="H145" s="21" t="n">
        <v>4319.7</v>
      </c>
      <c r="I145" s="21" t="n">
        <v>4344.94</v>
      </c>
      <c r="J145" s="21" t="n">
        <v>4395</v>
      </c>
      <c r="K145" s="21" t="n">
        <v>4413.73</v>
      </c>
      <c r="L145" s="21" t="n">
        <v>4438.02</v>
      </c>
      <c r="M145" s="21" t="n">
        <v>4466.77</v>
      </c>
      <c r="N145" s="21" t="n">
        <v>4518.17</v>
      </c>
      <c r="O145" s="21" t="n">
        <v>4536.92</v>
      </c>
      <c r="P145" s="19"/>
      <c r="Q145" s="19"/>
      <c r="R145" s="19"/>
      <c r="S145" s="19"/>
    </row>
    <row r="146" customFormat="false" ht="15.75" hidden="false" customHeight="true" outlineLevel="0" collapsed="false">
      <c r="A146" s="19" t="s">
        <v>35</v>
      </c>
      <c r="B146" s="19"/>
      <c r="C146" s="21" t="n">
        <v>38067.8</v>
      </c>
      <c r="D146" s="21" t="n">
        <v>39017.9</v>
      </c>
      <c r="E146" s="21" t="n">
        <v>39961.7</v>
      </c>
      <c r="F146" s="21" t="n">
        <v>40808.7</v>
      </c>
      <c r="G146" s="21" t="n">
        <v>41505.1</v>
      </c>
      <c r="H146" s="21" t="n">
        <v>42360.1</v>
      </c>
      <c r="I146" s="21" t="n">
        <v>42804.8</v>
      </c>
      <c r="J146" s="21" t="n">
        <v>43616.9</v>
      </c>
      <c r="K146" s="21" t="n">
        <v>43975.9</v>
      </c>
      <c r="L146" s="21" t="n">
        <v>44560.3</v>
      </c>
      <c r="M146" s="21" t="n">
        <v>45306.4</v>
      </c>
      <c r="N146" s="21" t="n">
        <v>46645.7</v>
      </c>
      <c r="O146" s="21" t="n">
        <v>47134.4</v>
      </c>
      <c r="P146" s="19"/>
      <c r="Q146" s="19"/>
      <c r="R146" s="19"/>
      <c r="S146" s="19"/>
    </row>
    <row r="147" customFormat="false" ht="12.75" hidden="false" customHeight="false" outlineLevel="0" collapsed="false">
      <c r="A147" s="19" t="s">
        <v>39</v>
      </c>
      <c r="B147" s="19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 t="s">
        <v>32</v>
      </c>
      <c r="Q147" s="19"/>
      <c r="R147" s="19"/>
      <c r="S147" s="19"/>
    </row>
    <row r="148" customFormat="false" ht="12.75" hidden="false" customHeight="false" outlineLevel="0" collapsed="false">
      <c r="A148" s="19" t="s">
        <v>40</v>
      </c>
      <c r="B148" s="19"/>
      <c r="C148" s="21" t="n">
        <v>184184.9</v>
      </c>
      <c r="D148" s="21" t="n">
        <v>184680.6</v>
      </c>
      <c r="E148" s="21" t="n">
        <v>185380.6</v>
      </c>
      <c r="F148" s="21" t="n">
        <v>186176.1</v>
      </c>
      <c r="G148" s="21" t="n">
        <v>186976.5</v>
      </c>
      <c r="H148" s="21" t="n">
        <v>187852.6</v>
      </c>
      <c r="I148" s="21" t="n">
        <v>188853.4</v>
      </c>
      <c r="J148" s="21" t="n">
        <v>190440.5</v>
      </c>
      <c r="K148" s="21" t="n">
        <v>191395</v>
      </c>
      <c r="L148" s="21" t="n">
        <v>191913</v>
      </c>
      <c r="M148" s="21" t="n">
        <v>192363.3</v>
      </c>
      <c r="N148" s="21" t="n">
        <v>193286.5</v>
      </c>
      <c r="O148" s="21" t="n">
        <v>193574.8</v>
      </c>
      <c r="P148" s="19"/>
      <c r="Q148" s="19"/>
      <c r="R148" s="19"/>
      <c r="S148" s="19"/>
    </row>
    <row r="149" customFormat="false" ht="12.75" hidden="false" customHeight="false" outlineLevel="0" collapsed="false">
      <c r="A149" s="22" t="s">
        <v>41</v>
      </c>
      <c r="B149" s="19"/>
      <c r="C149" s="21" t="n">
        <v>826361</v>
      </c>
      <c r="D149" s="21" t="n">
        <v>846510</v>
      </c>
      <c r="E149" s="21" t="n">
        <v>869071</v>
      </c>
      <c r="F149" s="21" t="n">
        <v>891299</v>
      </c>
      <c r="G149" s="21" t="n">
        <v>909817</v>
      </c>
      <c r="H149" s="21" t="n">
        <v>926862</v>
      </c>
      <c r="I149" s="21" t="n">
        <v>931710</v>
      </c>
      <c r="J149" s="21" t="n">
        <v>936984</v>
      </c>
      <c r="K149" s="21" t="n">
        <v>942716</v>
      </c>
      <c r="L149" s="21" t="n">
        <v>950439</v>
      </c>
      <c r="M149" s="21" t="n">
        <v>962470</v>
      </c>
      <c r="N149" s="21" t="n">
        <v>991354</v>
      </c>
      <c r="O149" s="21" t="n">
        <v>1001615</v>
      </c>
      <c r="P149" s="19"/>
      <c r="Q149" s="19"/>
      <c r="R149" s="19"/>
      <c r="S149" s="19"/>
    </row>
    <row r="150" customFormat="false" ht="13.8" hidden="false" customHeight="false" outlineLevel="0" collapsed="false">
      <c r="A150" s="60" t="s">
        <v>42</v>
      </c>
      <c r="B150" s="19"/>
      <c r="C150" s="21" t="n">
        <v>2882.8</v>
      </c>
      <c r="D150" s="21" t="n">
        <v>2939.9</v>
      </c>
      <c r="E150" s="21" t="n">
        <v>3011.1</v>
      </c>
      <c r="F150" s="21" t="n">
        <v>3089.6</v>
      </c>
      <c r="G150" s="21" t="n">
        <v>3161.3</v>
      </c>
      <c r="H150" s="21" t="n">
        <v>3222.2</v>
      </c>
      <c r="I150" s="21" t="n">
        <v>3243.5</v>
      </c>
      <c r="J150" s="21" t="n">
        <v>3249.3</v>
      </c>
      <c r="K150" s="21" t="n">
        <v>3276.4</v>
      </c>
      <c r="L150" s="21" t="n">
        <v>3302</v>
      </c>
      <c r="M150" s="21" t="n">
        <v>3339.6</v>
      </c>
      <c r="N150" s="21" t="n">
        <v>3432</v>
      </c>
      <c r="O150" s="21" t="n">
        <v>3464.1</v>
      </c>
      <c r="P150" s="19"/>
      <c r="Q150" s="19"/>
      <c r="R150" s="19"/>
      <c r="S150" s="19"/>
    </row>
    <row r="151" customFormat="false" ht="12.75" hidden="false" customHeight="false" outlineLevel="0" collapsed="false">
      <c r="A151" s="22" t="s">
        <v>43</v>
      </c>
      <c r="B151" s="19"/>
      <c r="C151" s="21" t="n">
        <v>214871</v>
      </c>
      <c r="D151" s="21" t="n">
        <v>215488</v>
      </c>
      <c r="E151" s="21" t="n">
        <v>217731</v>
      </c>
      <c r="F151" s="21" t="n">
        <v>220525</v>
      </c>
      <c r="G151" s="21" t="n">
        <v>224054</v>
      </c>
      <c r="H151" s="21" t="n">
        <v>228230</v>
      </c>
      <c r="I151" s="21" t="n">
        <v>232091</v>
      </c>
      <c r="J151" s="21" t="n">
        <v>238206</v>
      </c>
      <c r="K151" s="21" t="n">
        <v>241471</v>
      </c>
      <c r="L151" s="21" t="n">
        <v>243677</v>
      </c>
      <c r="M151" s="21" t="n">
        <v>245058</v>
      </c>
      <c r="N151" s="21" t="n">
        <v>246662</v>
      </c>
      <c r="O151" s="21" t="n">
        <v>247055</v>
      </c>
      <c r="P151" s="61"/>
      <c r="Q151" s="61"/>
      <c r="R151" s="61"/>
      <c r="S151" s="61"/>
    </row>
    <row r="152" customFormat="false" ht="12.75" hidden="false" customHeight="fals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6" customFormat="false" ht="15" hidden="false" customHeight="false" outlineLevel="0" collapsed="false">
      <c r="A156" s="39" t="n">
        <v>2020</v>
      </c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</row>
    <row r="157" customFormat="false" ht="15" hidden="false" customHeight="false" outlineLevel="0" collapsed="false">
      <c r="A157" s="39" t="s">
        <v>23</v>
      </c>
      <c r="B157" s="42" t="s">
        <v>24</v>
      </c>
      <c r="C157" s="71" t="s">
        <v>2</v>
      </c>
      <c r="D157" s="71" t="s">
        <v>3</v>
      </c>
      <c r="E157" s="71" t="s">
        <v>4</v>
      </c>
      <c r="F157" s="71" t="s">
        <v>5</v>
      </c>
      <c r="G157" s="71" t="s">
        <v>6</v>
      </c>
      <c r="H157" s="71" t="s">
        <v>7</v>
      </c>
      <c r="I157" s="71" t="s">
        <v>8</v>
      </c>
      <c r="J157" s="71" t="s">
        <v>9</v>
      </c>
      <c r="K157" s="71" t="s">
        <v>10</v>
      </c>
      <c r="L157" s="71" t="s">
        <v>11</v>
      </c>
      <c r="M157" s="71" t="s">
        <v>12</v>
      </c>
      <c r="N157" s="71" t="s">
        <v>13</v>
      </c>
      <c r="O157" s="42"/>
      <c r="P157" s="42"/>
      <c r="Q157" s="42"/>
      <c r="R157" s="42"/>
      <c r="S157" s="42"/>
    </row>
    <row r="158" customFormat="false" ht="12.75" hidden="false" customHeight="false" outlineLevel="0" collapsed="false">
      <c r="A158" s="42"/>
      <c r="B158" s="42"/>
      <c r="C158" s="43" t="n">
        <v>43831</v>
      </c>
      <c r="D158" s="43" t="n">
        <v>43864</v>
      </c>
      <c r="E158" s="43" t="n">
        <v>43892</v>
      </c>
      <c r="F158" s="43" t="n">
        <v>43922</v>
      </c>
      <c r="G158" s="43" t="n">
        <v>43955</v>
      </c>
      <c r="H158" s="43" t="n">
        <v>43984</v>
      </c>
      <c r="I158" s="43" t="n">
        <v>44013</v>
      </c>
      <c r="J158" s="43" t="n">
        <v>44046</v>
      </c>
      <c r="K158" s="43" t="n">
        <v>44075</v>
      </c>
      <c r="L158" s="43" t="n">
        <v>44105</v>
      </c>
      <c r="M158" s="43" t="n">
        <v>44138</v>
      </c>
      <c r="N158" s="43" t="n">
        <v>44166</v>
      </c>
      <c r="O158" s="43" t="n">
        <v>44196</v>
      </c>
      <c r="P158" s="42"/>
      <c r="Q158" s="42"/>
      <c r="R158" s="42"/>
      <c r="S158" s="42"/>
    </row>
    <row r="159" customFormat="false" ht="12.75" hidden="false" customHeight="false" outlineLevel="0" collapsed="false">
      <c r="A159" s="45" t="s">
        <v>44</v>
      </c>
      <c r="B159" s="42"/>
      <c r="C159" s="44" t="n">
        <v>554499.7</v>
      </c>
      <c r="D159" s="44" t="n">
        <v>558581.8</v>
      </c>
      <c r="E159" s="44" t="n">
        <v>560895.7</v>
      </c>
      <c r="F159" s="44" t="n">
        <v>563014</v>
      </c>
      <c r="G159" s="44" t="n">
        <v>564674.8</v>
      </c>
      <c r="H159" s="44" t="n">
        <v>566185</v>
      </c>
      <c r="I159" s="44" t="n">
        <v>567670.8</v>
      </c>
      <c r="J159" s="44" t="n">
        <v>569431.4</v>
      </c>
      <c r="K159" s="44" t="n">
        <v>570751.5</v>
      </c>
      <c r="L159" s="44" t="n">
        <v>572594.2</v>
      </c>
      <c r="M159" s="44" t="n">
        <v>575116</v>
      </c>
      <c r="N159" s="44" t="n">
        <v>577806.6</v>
      </c>
      <c r="O159" s="44" t="n">
        <v>580844.5</v>
      </c>
      <c r="P159" s="42"/>
      <c r="Q159" s="42"/>
      <c r="R159" s="42"/>
      <c r="S159" s="42"/>
    </row>
    <row r="160" customFormat="false" ht="12.75" hidden="false" customHeight="false" outlineLevel="0" collapsed="false">
      <c r="A160" s="42" t="s">
        <v>28</v>
      </c>
      <c r="B160" s="42"/>
      <c r="C160" s="44" t="n">
        <v>340715.6</v>
      </c>
      <c r="D160" s="44" t="n">
        <v>343770.1</v>
      </c>
      <c r="E160" s="44" t="n">
        <v>345399.6</v>
      </c>
      <c r="F160" s="44" t="n">
        <v>346891</v>
      </c>
      <c r="G160" s="44" t="n">
        <v>348073.8</v>
      </c>
      <c r="H160" s="44" t="n">
        <v>349096</v>
      </c>
      <c r="I160" s="44" t="n">
        <v>350133.7</v>
      </c>
      <c r="J160" s="44" t="n">
        <v>351349.7</v>
      </c>
      <c r="K160" s="44" t="n">
        <v>352225.2</v>
      </c>
      <c r="L160" s="44" t="n">
        <v>353390.5</v>
      </c>
      <c r="M160" s="44" t="n">
        <v>355138.5</v>
      </c>
      <c r="N160" s="44" t="n">
        <v>357081.7</v>
      </c>
      <c r="O160" s="44" t="n">
        <v>359304.9</v>
      </c>
      <c r="P160" s="42"/>
      <c r="Q160" s="42"/>
      <c r="R160" s="42"/>
      <c r="S160" s="42"/>
    </row>
    <row r="161" customFormat="false" ht="12.75" hidden="false" customHeight="false" outlineLevel="0" collapsed="false">
      <c r="A161" s="42" t="s">
        <v>45</v>
      </c>
      <c r="B161" s="42"/>
      <c r="C161" s="44" t="n">
        <v>515</v>
      </c>
      <c r="D161" s="44" t="n">
        <v>515</v>
      </c>
      <c r="E161" s="44" t="n">
        <v>515</v>
      </c>
      <c r="F161" s="44" t="n">
        <v>515</v>
      </c>
      <c r="G161" s="44" t="n">
        <v>515</v>
      </c>
      <c r="H161" s="44" t="n">
        <v>1355</v>
      </c>
      <c r="I161" s="44" t="n">
        <v>1355</v>
      </c>
      <c r="J161" s="44" t="n">
        <v>1355</v>
      </c>
      <c r="K161" s="44" t="n">
        <v>2318</v>
      </c>
      <c r="L161" s="44" t="n">
        <v>2318</v>
      </c>
      <c r="M161" s="44" t="n">
        <v>2318</v>
      </c>
      <c r="N161" s="44" t="n">
        <v>2318</v>
      </c>
      <c r="O161" s="44" t="n">
        <v>2394</v>
      </c>
      <c r="P161" s="42"/>
      <c r="Q161" s="42"/>
      <c r="R161" s="42"/>
      <c r="S161" s="42"/>
    </row>
    <row r="162" customFormat="false" ht="12.75" hidden="false" customHeight="false" outlineLevel="0" collapsed="false">
      <c r="A162" s="42" t="s">
        <v>30</v>
      </c>
      <c r="B162" s="42"/>
      <c r="C162" s="72" t="n">
        <v>40</v>
      </c>
      <c r="D162" s="44" t="n">
        <v>40</v>
      </c>
      <c r="E162" s="44" t="n">
        <v>40</v>
      </c>
      <c r="F162" s="44" t="n">
        <v>40</v>
      </c>
      <c r="G162" s="44" t="n">
        <v>40</v>
      </c>
      <c r="H162" s="44" t="n">
        <v>113</v>
      </c>
      <c r="I162" s="44" t="n">
        <v>113</v>
      </c>
      <c r="J162" s="44" t="n">
        <v>113</v>
      </c>
      <c r="K162" s="44" t="n">
        <v>188</v>
      </c>
      <c r="L162" s="44" t="n">
        <v>188</v>
      </c>
      <c r="M162" s="44" t="n">
        <v>188</v>
      </c>
      <c r="N162" s="44" t="n">
        <v>188</v>
      </c>
      <c r="O162" s="44" t="n">
        <v>387</v>
      </c>
      <c r="P162" s="42"/>
      <c r="Q162" s="42"/>
      <c r="R162" s="42"/>
      <c r="S162" s="42"/>
    </row>
    <row r="163" customFormat="false" ht="12.75" hidden="false" customHeight="false" outlineLevel="0" collapsed="false">
      <c r="A163" s="42" t="s">
        <v>31</v>
      </c>
      <c r="B163" s="42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 t="s">
        <v>32</v>
      </c>
      <c r="Q163" s="42"/>
      <c r="R163" s="42"/>
      <c r="S163" s="42"/>
    </row>
    <row r="164" customFormat="false" ht="12.75" hidden="false" customHeight="false" outlineLevel="0" collapsed="false">
      <c r="A164" s="42" t="s">
        <v>33</v>
      </c>
      <c r="B164" s="42"/>
      <c r="C164" s="44" t="n">
        <v>10587.25</v>
      </c>
      <c r="D164" s="44" t="n">
        <v>10662.76</v>
      </c>
      <c r="E164" s="44" t="n">
        <v>10716.74</v>
      </c>
      <c r="F164" s="44" t="n">
        <v>10760</v>
      </c>
      <c r="G164" s="44" t="n">
        <v>10775.32</v>
      </c>
      <c r="H164" s="44" t="n">
        <v>10819</v>
      </c>
      <c r="I164" s="44" t="n">
        <v>10832.63</v>
      </c>
      <c r="J164" s="44" t="n">
        <v>10848.57</v>
      </c>
      <c r="K164" s="44" t="n">
        <v>10863.57</v>
      </c>
      <c r="L164" s="44" t="n">
        <v>10919.35</v>
      </c>
      <c r="M164" s="44" t="n">
        <v>10984.2</v>
      </c>
      <c r="N164" s="44" t="n">
        <v>11055.58</v>
      </c>
      <c r="O164" s="44" t="n">
        <v>11104.67</v>
      </c>
      <c r="P164" s="42"/>
      <c r="Q164" s="42"/>
      <c r="R164" s="42"/>
      <c r="S164" s="42"/>
    </row>
    <row r="165" customFormat="false" ht="12.75" hidden="false" customHeight="false" outlineLevel="0" collapsed="false">
      <c r="A165" s="42" t="s">
        <v>34</v>
      </c>
      <c r="B165" s="42"/>
      <c r="C165" s="44" t="n">
        <v>4536.92</v>
      </c>
      <c r="D165" s="44" t="n">
        <v>4588.94</v>
      </c>
      <c r="E165" s="44" t="n">
        <v>4622.89</v>
      </c>
      <c r="F165" s="44" t="n">
        <v>4652</v>
      </c>
      <c r="G165" s="44" t="n">
        <v>4672</v>
      </c>
      <c r="H165" s="44" t="n">
        <v>4699</v>
      </c>
      <c r="I165" s="44" t="n">
        <v>4719.6</v>
      </c>
      <c r="J165" s="44" t="n">
        <v>4748.5</v>
      </c>
      <c r="K165" s="44" t="n">
        <v>4771.66</v>
      </c>
      <c r="L165" s="44" t="n">
        <v>4807.8</v>
      </c>
      <c r="M165" s="44" t="n">
        <v>4848.46</v>
      </c>
      <c r="N165" s="44" t="n">
        <v>4888.04</v>
      </c>
      <c r="O165" s="44" t="n">
        <v>4931.61</v>
      </c>
      <c r="P165" s="42"/>
      <c r="Q165" s="42"/>
      <c r="R165" s="42"/>
      <c r="S165" s="42"/>
    </row>
    <row r="166" customFormat="false" ht="12.75" hidden="false" customHeight="false" outlineLevel="0" collapsed="false">
      <c r="A166" s="42" t="s">
        <v>35</v>
      </c>
      <c r="B166" s="42"/>
      <c r="C166" s="44" t="n">
        <v>47134.4</v>
      </c>
      <c r="D166" s="44" t="n">
        <v>48898.3</v>
      </c>
      <c r="E166" s="44" t="n">
        <v>50679</v>
      </c>
      <c r="F166" s="44" t="n">
        <v>51404</v>
      </c>
      <c r="G166" s="44" t="n">
        <v>51859.8</v>
      </c>
      <c r="H166" s="44" t="n">
        <v>52280</v>
      </c>
      <c r="I166" s="44" t="n">
        <v>52858.9</v>
      </c>
      <c r="J166" s="44" t="n">
        <v>53617.5</v>
      </c>
      <c r="K166" s="44" t="n">
        <v>54088.2</v>
      </c>
      <c r="L166" s="44" t="n">
        <v>54933.1</v>
      </c>
      <c r="M166" s="44" t="n">
        <v>56102.1</v>
      </c>
      <c r="N166" s="44" t="n">
        <v>57265.4</v>
      </c>
      <c r="O166" s="44" t="n">
        <v>58339.7</v>
      </c>
      <c r="P166" s="42"/>
      <c r="Q166" s="42"/>
      <c r="R166" s="42"/>
      <c r="S166" s="42"/>
    </row>
    <row r="167" customFormat="false" ht="12.75" hidden="false" customHeight="false" outlineLevel="0" collapsed="false">
      <c r="A167" s="42" t="s">
        <v>39</v>
      </c>
      <c r="B167" s="42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 t="s">
        <v>32</v>
      </c>
      <c r="Q167" s="42"/>
      <c r="R167" s="42"/>
      <c r="S167" s="42"/>
    </row>
    <row r="168" customFormat="false" ht="12.75" hidden="false" customHeight="false" outlineLevel="0" collapsed="false">
      <c r="A168" s="42" t="s">
        <v>40</v>
      </c>
      <c r="B168" s="42"/>
      <c r="C168" s="44" t="n">
        <v>193574.8</v>
      </c>
      <c r="D168" s="44" t="n">
        <v>194756.6</v>
      </c>
      <c r="E168" s="44" t="n">
        <v>195367.5</v>
      </c>
      <c r="F168" s="44" t="n">
        <v>195869</v>
      </c>
      <c r="G168" s="44" t="n">
        <v>196565.1</v>
      </c>
      <c r="H168" s="44" t="n">
        <v>197375</v>
      </c>
      <c r="I168" s="44" t="n">
        <v>197924.7</v>
      </c>
      <c r="J168" s="44" t="n">
        <v>198774.9</v>
      </c>
      <c r="K168" s="44" t="n">
        <v>199666.1</v>
      </c>
      <c r="L168" s="44" t="n">
        <v>200618.3</v>
      </c>
      <c r="M168" s="44" t="n">
        <v>201634.9</v>
      </c>
      <c r="N168" s="44" t="n">
        <v>202614.8</v>
      </c>
      <c r="O168" s="44" t="n">
        <v>203606.8</v>
      </c>
      <c r="P168" s="42"/>
      <c r="Q168" s="42"/>
      <c r="R168" s="42"/>
      <c r="S168" s="42"/>
    </row>
    <row r="169" customFormat="false" ht="12.75" hidden="false" customHeight="false" outlineLevel="0" collapsed="false">
      <c r="A169" s="45" t="s">
        <v>41</v>
      </c>
      <c r="B169" s="42"/>
      <c r="C169" s="44" t="n">
        <v>1001615</v>
      </c>
      <c r="D169" s="44" t="n">
        <v>1025802</v>
      </c>
      <c r="E169" s="44" t="n">
        <v>1047475</v>
      </c>
      <c r="F169" s="44" t="n">
        <v>1069729</v>
      </c>
      <c r="G169" s="44" t="n">
        <v>1084156</v>
      </c>
      <c r="H169" s="44" t="n">
        <v>1097075</v>
      </c>
      <c r="I169" s="44" t="n">
        <v>1104282</v>
      </c>
      <c r="J169" s="44" t="n">
        <v>1108752</v>
      </c>
      <c r="K169" s="44" t="n">
        <v>1113911</v>
      </c>
      <c r="L169" s="44" t="n">
        <v>1126753</v>
      </c>
      <c r="M169" s="44" t="n">
        <v>1150414</v>
      </c>
      <c r="N169" s="44" t="n">
        <v>1172814</v>
      </c>
      <c r="O169" s="44" t="n">
        <v>1202049</v>
      </c>
      <c r="P169" s="42"/>
      <c r="Q169" s="42"/>
      <c r="R169" s="42"/>
      <c r="S169" s="42"/>
    </row>
    <row r="170" customFormat="false" ht="13.8" hidden="false" customHeight="false" outlineLevel="0" collapsed="false">
      <c r="A170" s="73" t="s">
        <v>42</v>
      </c>
      <c r="B170" s="42"/>
      <c r="C170" s="44" t="n">
        <v>3464.1</v>
      </c>
      <c r="D170" s="44" t="n">
        <v>3514.6</v>
      </c>
      <c r="E170" s="44" t="n">
        <v>3552.8</v>
      </c>
      <c r="F170" s="44" t="n">
        <v>3605</v>
      </c>
      <c r="G170" s="44" t="n">
        <v>3680.7</v>
      </c>
      <c r="H170" s="44" t="n">
        <v>3737</v>
      </c>
      <c r="I170" s="44" t="n">
        <v>3776.2</v>
      </c>
      <c r="J170" s="44" t="n">
        <v>3797.1</v>
      </c>
      <c r="K170" s="44" t="n">
        <v>3824.7</v>
      </c>
      <c r="L170" s="44" t="n">
        <v>3875.5</v>
      </c>
      <c r="M170" s="44" t="n">
        <v>3958.5</v>
      </c>
      <c r="N170" s="44" t="n">
        <v>4040.8</v>
      </c>
      <c r="O170" s="44" t="n">
        <v>4174.4</v>
      </c>
      <c r="P170" s="42"/>
      <c r="Q170" s="42"/>
      <c r="R170" s="42"/>
      <c r="S170" s="42"/>
    </row>
    <row r="171" customFormat="false" ht="12.75" hidden="false" customHeight="false" outlineLevel="0" collapsed="false">
      <c r="A171" s="45" t="s">
        <v>43</v>
      </c>
      <c r="B171" s="42"/>
      <c r="C171" s="44" t="n">
        <v>247055</v>
      </c>
      <c r="D171" s="44" t="n">
        <v>248583</v>
      </c>
      <c r="E171" s="44" t="n">
        <v>250254</v>
      </c>
      <c r="F171" s="44" t="n">
        <v>253343</v>
      </c>
      <c r="G171" s="44" t="n">
        <v>258273</v>
      </c>
      <c r="H171" s="44" t="n">
        <v>262451</v>
      </c>
      <c r="I171" s="44" t="n">
        <v>803</v>
      </c>
      <c r="J171" s="44" t="n">
        <v>5560</v>
      </c>
      <c r="K171" s="44" t="n">
        <v>8963</v>
      </c>
      <c r="L171" s="44" t="n">
        <v>11995</v>
      </c>
      <c r="M171" s="44" t="n">
        <v>13319</v>
      </c>
      <c r="N171" s="44" t="n">
        <v>14782</v>
      </c>
      <c r="O171" s="44" t="n">
        <v>15357</v>
      </c>
      <c r="P171" s="74"/>
      <c r="Q171" s="74"/>
      <c r="R171" s="74"/>
      <c r="S171" s="74"/>
    </row>
    <row r="172" customFormat="false" ht="12.75" hidden="false" customHeight="fals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</row>
    <row r="173" customFormat="false" ht="12.75" hidden="false" customHeight="false" outlineLevel="0" collapsed="false">
      <c r="I173" s="24"/>
    </row>
    <row r="176" customFormat="false" ht="15" hidden="false" customHeight="false" outlineLevel="0" collapsed="false">
      <c r="A176" s="46" t="n">
        <v>2021</v>
      </c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</row>
    <row r="177" customFormat="false" ht="15" hidden="false" customHeight="false" outlineLevel="0" collapsed="false">
      <c r="A177" s="46" t="s">
        <v>23</v>
      </c>
      <c r="B177" s="49" t="s">
        <v>24</v>
      </c>
      <c r="C177" s="75" t="s">
        <v>2</v>
      </c>
      <c r="D177" s="75" t="s">
        <v>3</v>
      </c>
      <c r="E177" s="75" t="s">
        <v>4</v>
      </c>
      <c r="F177" s="75" t="s">
        <v>5</v>
      </c>
      <c r="G177" s="75" t="s">
        <v>6</v>
      </c>
      <c r="H177" s="75" t="s">
        <v>7</v>
      </c>
      <c r="I177" s="75" t="s">
        <v>8</v>
      </c>
      <c r="J177" s="75" t="s">
        <v>9</v>
      </c>
      <c r="K177" s="75" t="s">
        <v>10</v>
      </c>
      <c r="L177" s="75" t="s">
        <v>11</v>
      </c>
      <c r="M177" s="75" t="s">
        <v>12</v>
      </c>
      <c r="N177" s="75" t="s">
        <v>13</v>
      </c>
      <c r="O177" s="49"/>
      <c r="P177" s="49"/>
      <c r="Q177" s="49"/>
      <c r="R177" s="49"/>
      <c r="S177" s="49"/>
    </row>
    <row r="178" customFormat="false" ht="12.75" hidden="false" customHeight="false" outlineLevel="0" collapsed="false">
      <c r="A178" s="49"/>
      <c r="B178" s="49"/>
      <c r="C178" s="50" t="n">
        <v>44197</v>
      </c>
      <c r="D178" s="50" t="n">
        <v>44228</v>
      </c>
      <c r="E178" s="50" t="n">
        <v>44257</v>
      </c>
      <c r="F178" s="50" t="n">
        <v>44293</v>
      </c>
      <c r="G178" s="50" t="n">
        <v>44319</v>
      </c>
      <c r="H178" s="50" t="n">
        <v>44348</v>
      </c>
      <c r="I178" s="50" t="n">
        <v>44382</v>
      </c>
      <c r="J178" s="50" t="n">
        <v>44411</v>
      </c>
      <c r="K178" s="50" t="n">
        <v>44440</v>
      </c>
      <c r="L178" s="50" t="n">
        <v>44470</v>
      </c>
      <c r="M178" s="50" t="n">
        <v>44503</v>
      </c>
      <c r="N178" s="50" t="n">
        <v>44531</v>
      </c>
      <c r="O178" s="50" t="n">
        <v>44561</v>
      </c>
      <c r="P178" s="49"/>
      <c r="Q178" s="49"/>
      <c r="R178" s="49"/>
      <c r="S178" s="49"/>
    </row>
    <row r="179" customFormat="false" ht="12.75" hidden="false" customHeight="false" outlineLevel="0" collapsed="false">
      <c r="A179" s="52" t="s">
        <v>44</v>
      </c>
      <c r="B179" s="49"/>
      <c r="C179" s="51" t="n">
        <v>580844.5</v>
      </c>
      <c r="D179" s="51" t="n">
        <v>582737.4</v>
      </c>
      <c r="E179" s="51" t="n">
        <v>584887.8</v>
      </c>
      <c r="F179" s="51" t="n">
        <v>587271</v>
      </c>
      <c r="G179" s="51" t="n">
        <v>588760.1</v>
      </c>
      <c r="H179" s="51" t="n">
        <v>590715.2</v>
      </c>
      <c r="I179" s="51" t="n">
        <v>592781.5</v>
      </c>
      <c r="J179" s="51" t="n">
        <v>594242.1</v>
      </c>
      <c r="K179" s="51" t="n">
        <v>595717.9</v>
      </c>
      <c r="L179" s="51" t="n">
        <v>597634.3</v>
      </c>
      <c r="M179" s="51" t="n">
        <v>600111.8</v>
      </c>
      <c r="N179" s="51" t="n">
        <v>603095.7</v>
      </c>
      <c r="O179" s="51" t="n">
        <v>605166.5</v>
      </c>
      <c r="P179" s="49"/>
      <c r="Q179" s="49"/>
      <c r="R179" s="49"/>
      <c r="S179" s="49"/>
    </row>
    <row r="180" customFormat="false" ht="12.75" hidden="false" customHeight="false" outlineLevel="0" collapsed="false">
      <c r="A180" s="49" t="s">
        <v>28</v>
      </c>
      <c r="B180" s="49"/>
      <c r="C180" s="51" t="n">
        <v>359304.9</v>
      </c>
      <c r="D180" s="51" t="n">
        <v>360639.7</v>
      </c>
      <c r="E180" s="51" t="n">
        <v>362133.3</v>
      </c>
      <c r="F180" s="51" t="n">
        <v>363846.9</v>
      </c>
      <c r="G180" s="51" t="n">
        <v>364897.6</v>
      </c>
      <c r="H180" s="51" t="n">
        <v>366227.1</v>
      </c>
      <c r="I180" s="51" t="n">
        <v>367558.5</v>
      </c>
      <c r="J180" s="51" t="n">
        <v>368479.3</v>
      </c>
      <c r="K180" s="51" t="n">
        <v>369500.5</v>
      </c>
      <c r="L180" s="51" t="n">
        <v>370715.6</v>
      </c>
      <c r="M180" s="51" t="n">
        <v>372374.7</v>
      </c>
      <c r="N180" s="51" t="n">
        <v>374437.4</v>
      </c>
      <c r="O180" s="51" t="n">
        <v>375876.5</v>
      </c>
      <c r="P180" s="49"/>
      <c r="Q180" s="49"/>
      <c r="R180" s="49"/>
      <c r="S180" s="49"/>
    </row>
    <row r="181" customFormat="false" ht="12.75" hidden="false" customHeight="false" outlineLevel="0" collapsed="false">
      <c r="A181" s="49" t="s">
        <v>45</v>
      </c>
      <c r="B181" s="49"/>
      <c r="C181" s="51" t="n">
        <v>2394</v>
      </c>
      <c r="D181" s="51" t="n">
        <v>2394</v>
      </c>
      <c r="E181" s="51" t="n">
        <v>2394</v>
      </c>
      <c r="F181" s="51" t="n">
        <v>2394</v>
      </c>
      <c r="G181" s="51" t="n">
        <v>2394</v>
      </c>
      <c r="H181" s="51" t="n">
        <v>2394</v>
      </c>
      <c r="I181" s="51" t="n">
        <v>2394</v>
      </c>
      <c r="J181" s="51" t="n">
        <v>2394</v>
      </c>
      <c r="K181" s="51" t="n">
        <v>2394</v>
      </c>
      <c r="L181" s="51" t="n">
        <v>2394</v>
      </c>
      <c r="M181" s="51" t="n">
        <v>2394</v>
      </c>
      <c r="N181" s="51" t="n">
        <v>2394</v>
      </c>
      <c r="O181" s="51" t="n">
        <v>2394</v>
      </c>
      <c r="P181" s="49"/>
      <c r="Q181" s="49"/>
      <c r="R181" s="49"/>
      <c r="S181" s="49"/>
    </row>
    <row r="182" customFormat="false" ht="12.75" hidden="false" customHeight="false" outlineLevel="0" collapsed="false">
      <c r="A182" s="49" t="s">
        <v>30</v>
      </c>
      <c r="B182" s="49"/>
      <c r="C182" s="76" t="n">
        <v>387</v>
      </c>
      <c r="D182" s="51" t="n">
        <v>387</v>
      </c>
      <c r="E182" s="51" t="n">
        <v>387</v>
      </c>
      <c r="F182" s="51" t="n">
        <v>387</v>
      </c>
      <c r="G182" s="51" t="n">
        <v>569</v>
      </c>
      <c r="H182" s="51" t="n">
        <v>569</v>
      </c>
      <c r="I182" s="51" t="n">
        <v>569</v>
      </c>
      <c r="J182" s="51" t="n">
        <v>569</v>
      </c>
      <c r="K182" s="51" t="n">
        <v>569</v>
      </c>
      <c r="L182" s="51" t="n">
        <v>569</v>
      </c>
      <c r="M182" s="51" t="n">
        <v>569</v>
      </c>
      <c r="N182" s="51" t="n">
        <v>569</v>
      </c>
      <c r="O182" s="51" t="n">
        <v>783</v>
      </c>
      <c r="P182" s="49"/>
      <c r="Q182" s="49"/>
      <c r="R182" s="49"/>
      <c r="S182" s="49"/>
    </row>
    <row r="183" customFormat="false" ht="12.75" hidden="false" customHeight="false" outlineLevel="0" collapsed="false">
      <c r="A183" s="49" t="s">
        <v>31</v>
      </c>
      <c r="B183" s="49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 t="s">
        <v>32</v>
      </c>
      <c r="Q183" s="49"/>
      <c r="R183" s="49"/>
      <c r="S183" s="49"/>
    </row>
    <row r="184" customFormat="false" ht="12.75" hidden="false" customHeight="false" outlineLevel="0" collapsed="false">
      <c r="A184" s="49" t="s">
        <v>33</v>
      </c>
      <c r="B184" s="49"/>
      <c r="C184" s="51" t="n">
        <v>11104.67</v>
      </c>
      <c r="D184" s="51" t="n">
        <v>11117.12</v>
      </c>
      <c r="E184" s="51" t="n">
        <v>11146.43</v>
      </c>
      <c r="F184" s="51" t="n">
        <v>11204.66</v>
      </c>
      <c r="G184" s="51" t="n">
        <v>11245.32</v>
      </c>
      <c r="H184" s="51" t="n">
        <v>11292.03</v>
      </c>
      <c r="I184" s="51" t="n">
        <v>11363.2</v>
      </c>
      <c r="J184" s="51" t="n">
        <v>11419.48</v>
      </c>
      <c r="K184" s="51" t="n">
        <v>11436.42</v>
      </c>
      <c r="L184" s="51" t="n">
        <v>11490.86</v>
      </c>
      <c r="M184" s="51" t="n">
        <v>11563.7</v>
      </c>
      <c r="N184" s="51" t="n">
        <v>11631.96</v>
      </c>
      <c r="O184" s="51" t="n">
        <v>11679.47</v>
      </c>
      <c r="P184" s="49"/>
      <c r="Q184" s="49"/>
      <c r="R184" s="49"/>
      <c r="S184" s="49"/>
    </row>
    <row r="185" customFormat="false" ht="12.75" hidden="false" customHeight="false" outlineLevel="0" collapsed="false">
      <c r="A185" s="49" t="s">
        <v>34</v>
      </c>
      <c r="B185" s="49"/>
      <c r="C185" s="51" t="n">
        <v>4931.61</v>
      </c>
      <c r="D185" s="51" t="n">
        <v>4957.53</v>
      </c>
      <c r="E185" s="51" t="n">
        <v>4989.58</v>
      </c>
      <c r="F185" s="51" t="n">
        <v>5026.55</v>
      </c>
      <c r="G185" s="51" t="n">
        <v>5050.52</v>
      </c>
      <c r="H185" s="51" t="n">
        <v>5083.22</v>
      </c>
      <c r="I185" s="51" t="n">
        <v>5123.95</v>
      </c>
      <c r="J185" s="51" t="n">
        <v>5153.75</v>
      </c>
      <c r="K185" s="51" t="n">
        <v>5186</v>
      </c>
      <c r="L185" s="51" t="n">
        <v>5222.2</v>
      </c>
      <c r="M185" s="51" t="n">
        <v>5259.98</v>
      </c>
      <c r="N185" s="51" t="n">
        <v>5302.71</v>
      </c>
      <c r="O185" s="51" t="n">
        <v>5331.71</v>
      </c>
      <c r="P185" s="49"/>
      <c r="Q185" s="49"/>
      <c r="R185" s="49"/>
      <c r="S185" s="49"/>
    </row>
    <row r="186" customFormat="false" ht="12.75" hidden="false" customHeight="false" outlineLevel="0" collapsed="false">
      <c r="A186" s="49" t="s">
        <v>35</v>
      </c>
      <c r="B186" s="49"/>
      <c r="C186" s="51" t="n">
        <v>58339.7</v>
      </c>
      <c r="D186" s="51" t="n">
        <v>58823</v>
      </c>
      <c r="E186" s="51" t="n">
        <v>59403.3</v>
      </c>
      <c r="F186" s="51" t="n">
        <v>60477</v>
      </c>
      <c r="G186" s="51" t="n">
        <v>61059.9</v>
      </c>
      <c r="H186" s="51" t="n">
        <v>61905.3</v>
      </c>
      <c r="I186" s="51" t="n">
        <v>62852.3</v>
      </c>
      <c r="J186" s="51" t="n">
        <v>63627</v>
      </c>
      <c r="K186" s="51" t="n">
        <v>64186.1</v>
      </c>
      <c r="L186" s="51" t="n">
        <v>65119.5</v>
      </c>
      <c r="M186" s="51" t="n">
        <v>66309.5</v>
      </c>
      <c r="N186" s="51" t="n">
        <v>67640.1</v>
      </c>
      <c r="O186" s="51" t="n">
        <v>68493.6</v>
      </c>
      <c r="P186" s="49"/>
      <c r="Q186" s="49"/>
      <c r="R186" s="49"/>
      <c r="S186" s="49"/>
    </row>
    <row r="187" customFormat="false" ht="12.75" hidden="false" customHeight="false" outlineLevel="0" collapsed="false">
      <c r="A187" s="49" t="s">
        <v>39</v>
      </c>
      <c r="B187" s="49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 t="s">
        <v>32</v>
      </c>
      <c r="Q187" s="49"/>
      <c r="R187" s="49"/>
      <c r="S187" s="49"/>
    </row>
    <row r="188" customFormat="false" ht="12.75" hidden="false" customHeight="false" outlineLevel="0" collapsed="false">
      <c r="A188" s="49" t="s">
        <v>40</v>
      </c>
      <c r="B188" s="49"/>
      <c r="C188" s="51" t="n">
        <v>203606.8</v>
      </c>
      <c r="D188" s="51" t="n">
        <v>204261.4</v>
      </c>
      <c r="E188" s="51" t="n">
        <v>205056.4</v>
      </c>
      <c r="F188" s="51" t="n">
        <v>205856.9</v>
      </c>
      <c r="G188" s="51" t="n">
        <v>206362.3</v>
      </c>
      <c r="H188" s="51" t="n">
        <v>207045.8</v>
      </c>
      <c r="I188" s="51" t="n">
        <v>207609.2</v>
      </c>
      <c r="J188" s="51" t="n">
        <v>208091.8</v>
      </c>
      <c r="K188" s="51" t="n">
        <v>208958.1</v>
      </c>
      <c r="L188" s="51" t="n">
        <v>209704.3</v>
      </c>
      <c r="M188" s="51" t="n">
        <v>210367.6</v>
      </c>
      <c r="N188" s="51" t="n">
        <v>216560.8</v>
      </c>
      <c r="O188" s="51" t="n">
        <v>219578.2</v>
      </c>
      <c r="P188" s="49"/>
      <c r="Q188" s="49"/>
      <c r="R188" s="49"/>
      <c r="S188" s="49"/>
    </row>
    <row r="189" customFormat="false" ht="12.75" hidden="false" customHeight="false" outlineLevel="0" collapsed="false">
      <c r="A189" s="52" t="s">
        <v>41</v>
      </c>
      <c r="B189" s="49"/>
      <c r="C189" s="51" t="n">
        <v>1202049</v>
      </c>
      <c r="D189" s="51" t="n">
        <v>1222305</v>
      </c>
      <c r="E189" s="51" t="n">
        <v>1246923</v>
      </c>
      <c r="F189" s="51" t="n">
        <v>1272979.15</v>
      </c>
      <c r="G189" s="51" t="n">
        <v>1288970.75</v>
      </c>
      <c r="H189" s="51" t="n">
        <v>1306772.81</v>
      </c>
      <c r="I189" s="51" t="n">
        <v>1314348.4</v>
      </c>
      <c r="J189" s="51" t="n">
        <v>1320219.94</v>
      </c>
      <c r="K189" s="51" t="n">
        <v>1331674.559</v>
      </c>
      <c r="L189" s="51" t="n">
        <v>1345731.03</v>
      </c>
      <c r="M189" s="51" t="n">
        <v>1367169.93</v>
      </c>
      <c r="N189" s="51" t="n">
        <v>1387938.51</v>
      </c>
      <c r="O189" s="51" t="n">
        <v>1404247.83</v>
      </c>
      <c r="P189" s="49"/>
      <c r="Q189" s="49"/>
      <c r="R189" s="49"/>
      <c r="S189" s="49"/>
    </row>
    <row r="190" customFormat="false" ht="13.8" hidden="false" customHeight="false" outlineLevel="0" collapsed="false">
      <c r="A190" s="77" t="s">
        <v>42</v>
      </c>
      <c r="B190" s="49"/>
      <c r="C190" s="51" t="n">
        <v>4174</v>
      </c>
      <c r="D190" s="51" t="n">
        <v>4276</v>
      </c>
      <c r="E190" s="51" t="n">
        <v>4397.4</v>
      </c>
      <c r="F190" s="51" t="n">
        <v>4514.4</v>
      </c>
      <c r="G190" s="51" t="n">
        <v>4585.3</v>
      </c>
      <c r="H190" s="51" t="n">
        <v>4664.2</v>
      </c>
      <c r="I190" s="51" t="n">
        <v>4689.7</v>
      </c>
      <c r="J190" s="51" t="n">
        <v>4703.9</v>
      </c>
      <c r="K190" s="51" t="n">
        <v>4750.3</v>
      </c>
      <c r="L190" s="51" t="n">
        <v>4792.9</v>
      </c>
      <c r="M190" s="51" t="n">
        <v>4858.8</v>
      </c>
      <c r="N190" s="51" t="n">
        <v>4917.8</v>
      </c>
      <c r="O190" s="51" t="n">
        <v>4964.6</v>
      </c>
      <c r="P190" s="49"/>
      <c r="Q190" s="49"/>
      <c r="R190" s="49"/>
      <c r="S190" s="49"/>
    </row>
    <row r="191" customFormat="false" ht="12.75" hidden="false" customHeight="false" outlineLevel="0" collapsed="false">
      <c r="A191" s="52" t="s">
        <v>43</v>
      </c>
      <c r="B191" s="49"/>
      <c r="C191" s="51" t="n">
        <v>15357</v>
      </c>
      <c r="D191" s="51" t="n">
        <v>15955</v>
      </c>
      <c r="E191" s="51" t="n">
        <v>17886</v>
      </c>
      <c r="F191" s="51" t="n">
        <v>21210</v>
      </c>
      <c r="G191" s="51" t="n">
        <v>23977</v>
      </c>
      <c r="H191" s="51" t="n">
        <v>27538</v>
      </c>
      <c r="I191" s="51" t="n">
        <v>31708</v>
      </c>
      <c r="J191" s="51" t="n">
        <v>34353</v>
      </c>
      <c r="K191" s="51" t="n">
        <v>37971</v>
      </c>
      <c r="L191" s="51" t="n">
        <v>41155</v>
      </c>
      <c r="M191" s="51" t="n">
        <v>43150</v>
      </c>
      <c r="N191" s="51" t="n">
        <v>43988</v>
      </c>
      <c r="O191" s="51" t="n">
        <v>44316</v>
      </c>
      <c r="P191" s="78"/>
      <c r="Q191" s="78"/>
      <c r="R191" s="78"/>
      <c r="S191" s="78"/>
    </row>
    <row r="192" customFormat="false" ht="12.75" hidden="false" customHeight="false" outlineLevel="0" collapsed="false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</row>
    <row r="195" customFormat="false" ht="15" hidden="false" customHeight="false" outlineLevel="0" collapsed="false">
      <c r="A195" s="32" t="n">
        <v>2022</v>
      </c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</row>
    <row r="196" customFormat="false" ht="15" hidden="false" customHeight="false" outlineLevel="0" collapsed="false">
      <c r="A196" s="32" t="s">
        <v>23</v>
      </c>
      <c r="B196" s="35" t="s">
        <v>24</v>
      </c>
      <c r="C196" s="66" t="s">
        <v>2</v>
      </c>
      <c r="D196" s="66" t="s">
        <v>3</v>
      </c>
      <c r="E196" s="66" t="s">
        <v>4</v>
      </c>
      <c r="F196" s="66" t="s">
        <v>5</v>
      </c>
      <c r="G196" s="66" t="s">
        <v>6</v>
      </c>
      <c r="H196" s="66" t="s">
        <v>7</v>
      </c>
      <c r="I196" s="66" t="s">
        <v>8</v>
      </c>
      <c r="J196" s="66" t="s">
        <v>9</v>
      </c>
      <c r="K196" s="66" t="s">
        <v>10</v>
      </c>
      <c r="L196" s="66" t="s">
        <v>11</v>
      </c>
      <c r="M196" s="66" t="s">
        <v>12</v>
      </c>
      <c r="N196" s="66" t="s">
        <v>13</v>
      </c>
      <c r="O196" s="35"/>
      <c r="P196" s="35"/>
      <c r="Q196" s="35"/>
      <c r="R196" s="35"/>
      <c r="S196" s="35"/>
    </row>
    <row r="197" customFormat="false" ht="12.75" hidden="false" customHeight="false" outlineLevel="0" collapsed="false">
      <c r="A197" s="35"/>
      <c r="B197" s="35"/>
      <c r="C197" s="36" t="n">
        <v>44562</v>
      </c>
      <c r="D197" s="36" t="n">
        <v>44593</v>
      </c>
      <c r="E197" s="36" t="n">
        <v>44621</v>
      </c>
      <c r="F197" s="36" t="n">
        <v>44652</v>
      </c>
      <c r="G197" s="36" t="n">
        <v>44683</v>
      </c>
      <c r="H197" s="36" t="n">
        <v>44713</v>
      </c>
      <c r="I197" s="36" t="n">
        <v>44743</v>
      </c>
      <c r="J197" s="36" t="n">
        <v>44774</v>
      </c>
      <c r="K197" s="36" t="n">
        <v>44805</v>
      </c>
      <c r="L197" s="36" t="n">
        <v>44839</v>
      </c>
      <c r="M197" s="36" t="n">
        <v>44868</v>
      </c>
      <c r="N197" s="36" t="n">
        <v>44896</v>
      </c>
      <c r="O197" s="36" t="n">
        <v>44926</v>
      </c>
      <c r="P197" s="35"/>
      <c r="Q197" s="35"/>
      <c r="R197" s="35"/>
      <c r="S197" s="35"/>
    </row>
    <row r="198" customFormat="false" ht="12.75" hidden="false" customHeight="false" outlineLevel="0" collapsed="false">
      <c r="A198" s="38" t="s">
        <v>44</v>
      </c>
      <c r="B198" s="35"/>
      <c r="C198" s="37" t="n">
        <v>606609</v>
      </c>
      <c r="D198" s="37" t="n">
        <v>608636.9</v>
      </c>
      <c r="E198" s="37" t="n">
        <v>610987.5</v>
      </c>
      <c r="F198" s="37" t="n">
        <v>613664.2</v>
      </c>
      <c r="G198" s="37" t="n">
        <v>615776</v>
      </c>
      <c r="H198" s="37" t="n">
        <v>617971</v>
      </c>
      <c r="I198" s="37" t="n">
        <v>619686.4</v>
      </c>
      <c r="J198" s="37" t="n">
        <v>621313.8</v>
      </c>
      <c r="K198" s="37" t="n">
        <v>622697.7</v>
      </c>
      <c r="L198" s="37" t="n">
        <v>624930</v>
      </c>
      <c r="M198" s="37" t="n">
        <v>627037</v>
      </c>
      <c r="N198" s="37" t="n">
        <v>629500</v>
      </c>
      <c r="O198" s="37" t="n">
        <v>631460</v>
      </c>
      <c r="P198" s="35"/>
      <c r="Q198" s="35"/>
      <c r="R198" s="35"/>
      <c r="S198" s="35"/>
    </row>
    <row r="199" customFormat="false" ht="12.75" hidden="false" customHeight="false" outlineLevel="0" collapsed="false">
      <c r="A199" s="35" t="s">
        <v>28</v>
      </c>
      <c r="B199" s="35"/>
      <c r="C199" s="37" t="n">
        <v>376967</v>
      </c>
      <c r="D199" s="37" t="n">
        <v>378367.1</v>
      </c>
      <c r="E199" s="37" t="n">
        <v>379952.4</v>
      </c>
      <c r="F199" s="37" t="n">
        <v>381814.5</v>
      </c>
      <c r="G199" s="37" t="n">
        <v>383360</v>
      </c>
      <c r="H199" s="37" t="n">
        <v>384873.2</v>
      </c>
      <c r="I199" s="37" t="n">
        <v>386043.4</v>
      </c>
      <c r="J199" s="37" t="n">
        <v>387206</v>
      </c>
      <c r="K199" s="37" t="n">
        <v>388195.2</v>
      </c>
      <c r="L199" s="37" t="n">
        <v>389726</v>
      </c>
      <c r="M199" s="37" t="n">
        <v>391163</v>
      </c>
      <c r="N199" s="37" t="n">
        <v>392865</v>
      </c>
      <c r="O199" s="37" t="n">
        <v>394266</v>
      </c>
      <c r="P199" s="35"/>
      <c r="Q199" s="35"/>
      <c r="R199" s="35"/>
      <c r="S199" s="35"/>
    </row>
    <row r="200" customFormat="false" ht="12.75" hidden="false" customHeight="false" outlineLevel="0" collapsed="false">
      <c r="A200" s="35" t="s">
        <v>45</v>
      </c>
      <c r="B200" s="35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5"/>
      <c r="Q200" s="35"/>
      <c r="R200" s="35"/>
      <c r="S200" s="35"/>
    </row>
    <row r="201" customFormat="false" ht="12.75" hidden="false" customHeight="false" outlineLevel="0" collapsed="false">
      <c r="A201" s="35" t="s">
        <v>30</v>
      </c>
      <c r="B201" s="35"/>
      <c r="C201" s="67" t="n">
        <v>783</v>
      </c>
      <c r="D201" s="37" t="n">
        <v>783</v>
      </c>
      <c r="E201" s="37" t="n">
        <v>783</v>
      </c>
      <c r="F201" s="37" t="n">
        <v>783</v>
      </c>
      <c r="G201" s="37" t="n">
        <v>948</v>
      </c>
      <c r="H201" s="37" t="n">
        <v>997</v>
      </c>
      <c r="I201" s="37" t="n">
        <v>1027</v>
      </c>
      <c r="J201" s="37" t="n">
        <v>1049</v>
      </c>
      <c r="K201" s="37" t="n">
        <v>1081</v>
      </c>
      <c r="L201" s="37" t="n">
        <v>1113</v>
      </c>
      <c r="M201" s="37" t="n">
        <v>1140</v>
      </c>
      <c r="N201" s="37" t="n">
        <v>1171</v>
      </c>
      <c r="O201" s="37" t="n">
        <v>1193</v>
      </c>
      <c r="P201" s="35"/>
      <c r="Q201" s="35"/>
      <c r="R201" s="35"/>
      <c r="S201" s="35"/>
    </row>
    <row r="202" customFormat="false" ht="12.75" hidden="false" customHeight="false" outlineLevel="0" collapsed="false">
      <c r="A202" s="35" t="s">
        <v>31</v>
      </c>
      <c r="B202" s="35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 t="s">
        <v>32</v>
      </c>
      <c r="Q202" s="35"/>
      <c r="R202" s="35"/>
      <c r="S202" s="35"/>
    </row>
    <row r="203" customFormat="false" ht="12.75" hidden="false" customHeight="false" outlineLevel="0" collapsed="false">
      <c r="A203" s="35" t="s">
        <v>33</v>
      </c>
      <c r="B203" s="35"/>
      <c r="C203" s="37" t="n">
        <v>11699</v>
      </c>
      <c r="D203" s="37" t="n">
        <v>11750.47</v>
      </c>
      <c r="E203" s="37" t="n">
        <v>11816.18</v>
      </c>
      <c r="F203" s="37" t="n">
        <v>11888.5</v>
      </c>
      <c r="G203" s="37" t="n">
        <v>11941</v>
      </c>
      <c r="H203" s="37" t="n">
        <v>12018.7</v>
      </c>
      <c r="I203" s="37" t="n">
        <v>12070.2</v>
      </c>
      <c r="J203" s="37" t="n">
        <v>12128.09</v>
      </c>
      <c r="K203" s="37" t="n">
        <v>12176.72</v>
      </c>
      <c r="L203" s="37" t="n">
        <v>12176.72</v>
      </c>
      <c r="M203" s="37" t="n">
        <v>13779.72</v>
      </c>
      <c r="N203" s="37" t="n">
        <v>17384.72</v>
      </c>
      <c r="O203" s="37" t="n">
        <v>20065</v>
      </c>
      <c r="P203" s="35"/>
      <c r="Q203" s="35"/>
      <c r="R203" s="35"/>
      <c r="S203" s="35"/>
    </row>
    <row r="204" customFormat="false" ht="12.75" hidden="false" customHeight="false" outlineLevel="0" collapsed="false">
      <c r="A204" s="35" t="s">
        <v>34</v>
      </c>
      <c r="B204" s="35"/>
      <c r="C204" s="37" t="n">
        <v>5356</v>
      </c>
      <c r="D204" s="37" t="n">
        <v>5392.7</v>
      </c>
      <c r="E204" s="37" t="n">
        <v>5430.6</v>
      </c>
      <c r="F204" s="37" t="n">
        <v>5470.7</v>
      </c>
      <c r="G204" s="37" t="n">
        <v>5502</v>
      </c>
      <c r="H204" s="37" t="n">
        <v>5539</v>
      </c>
      <c r="I204" s="37" t="n">
        <v>5571</v>
      </c>
      <c r="J204" s="37" t="n">
        <v>5605.68</v>
      </c>
      <c r="K204" s="37" t="n">
        <v>5643.78</v>
      </c>
      <c r="L204" s="37" t="n">
        <v>5692</v>
      </c>
      <c r="M204" s="37" t="n">
        <v>5692</v>
      </c>
      <c r="N204" s="37" t="n">
        <v>7300</v>
      </c>
      <c r="O204" s="37" t="n">
        <v>8753</v>
      </c>
      <c r="P204" s="35"/>
      <c r="Q204" s="35"/>
      <c r="R204" s="35"/>
      <c r="S204" s="35"/>
    </row>
    <row r="205" customFormat="false" ht="12.75" hidden="false" customHeight="false" outlineLevel="0" collapsed="false">
      <c r="A205" s="35" t="s">
        <v>35</v>
      </c>
      <c r="B205" s="35"/>
      <c r="C205" s="37" t="n">
        <v>68912</v>
      </c>
      <c r="D205" s="37" t="n">
        <v>69820.7</v>
      </c>
      <c r="E205" s="37" t="n">
        <v>70934.3</v>
      </c>
      <c r="F205" s="37" t="n">
        <v>72131.8</v>
      </c>
      <c r="G205" s="37" t="n">
        <v>72975</v>
      </c>
      <c r="H205" s="37" t="n">
        <v>73977.3</v>
      </c>
      <c r="I205" s="37" t="n">
        <v>74626.4</v>
      </c>
      <c r="J205" s="37" t="n">
        <v>75280.7</v>
      </c>
      <c r="K205" s="37" t="n">
        <v>75815.4</v>
      </c>
      <c r="L205" s="37" t="n">
        <v>76847</v>
      </c>
      <c r="M205" s="37" t="n">
        <v>77853</v>
      </c>
      <c r="N205" s="37" t="n">
        <v>78955</v>
      </c>
      <c r="O205" s="37" t="n">
        <v>79794</v>
      </c>
      <c r="P205" s="35"/>
      <c r="Q205" s="35"/>
      <c r="R205" s="35"/>
      <c r="S205" s="35"/>
    </row>
    <row r="206" customFormat="false" ht="12.75" hidden="false" customHeight="false" outlineLevel="0" collapsed="false">
      <c r="A206" s="35" t="s">
        <v>39</v>
      </c>
      <c r="B206" s="35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 t="s">
        <v>32</v>
      </c>
      <c r="Q206" s="35"/>
      <c r="R206" s="35"/>
      <c r="S206" s="35"/>
    </row>
    <row r="207" customFormat="false" ht="12.75" hidden="false" customHeight="false" outlineLevel="0" collapsed="false">
      <c r="A207" s="35" t="s">
        <v>40</v>
      </c>
      <c r="B207" s="35"/>
      <c r="C207" s="37" t="n">
        <v>221029</v>
      </c>
      <c r="D207" s="37" t="n">
        <v>224443</v>
      </c>
      <c r="E207" s="37" t="n">
        <v>228126.9</v>
      </c>
      <c r="F207" s="37" t="n">
        <v>231911.8</v>
      </c>
      <c r="G207" s="37" t="n">
        <v>234533</v>
      </c>
      <c r="H207" s="37" t="n">
        <v>237037.8</v>
      </c>
      <c r="I207" s="37" t="n">
        <v>238403</v>
      </c>
      <c r="J207" s="37" t="n">
        <v>239627.5</v>
      </c>
      <c r="K207" s="37" t="n">
        <v>240247.9</v>
      </c>
      <c r="L207" s="37" t="n">
        <v>242772</v>
      </c>
      <c r="M207" s="37" t="n">
        <v>245533</v>
      </c>
      <c r="N207" s="37" t="n">
        <v>249743</v>
      </c>
      <c r="O207" s="37" t="n">
        <v>252583</v>
      </c>
      <c r="P207" s="35"/>
      <c r="Q207" s="35"/>
      <c r="R207" s="35"/>
      <c r="S207" s="35"/>
    </row>
    <row r="208" customFormat="false" ht="12.75" hidden="false" customHeight="false" outlineLevel="0" collapsed="false">
      <c r="A208" s="38" t="s">
        <v>46</v>
      </c>
      <c r="B208" s="35"/>
      <c r="C208" s="37" t="n">
        <v>155528.43</v>
      </c>
      <c r="D208" s="37" t="n">
        <v>171829.3</v>
      </c>
      <c r="E208" s="37" t="n">
        <v>191437.9</v>
      </c>
      <c r="F208" s="37" t="n">
        <v>217745.1</v>
      </c>
      <c r="G208" s="37" t="n">
        <v>224857</v>
      </c>
      <c r="H208" s="37" t="n">
        <v>232350.8</v>
      </c>
      <c r="I208" s="37" t="n">
        <v>239442.98</v>
      </c>
      <c r="J208" s="37" t="n">
        <v>245361.62</v>
      </c>
      <c r="K208" s="37" t="n">
        <v>250803.5</v>
      </c>
      <c r="L208" s="37" t="n">
        <v>264793</v>
      </c>
      <c r="M208" s="37" t="n">
        <v>273229</v>
      </c>
      <c r="N208" s="37" t="n">
        <v>289531</v>
      </c>
      <c r="O208" s="37" t="n">
        <v>302111</v>
      </c>
      <c r="P208" s="35"/>
      <c r="Q208" s="35"/>
      <c r="R208" s="35"/>
      <c r="S208" s="35"/>
    </row>
    <row r="209" customFormat="false" ht="13.8" hidden="false" customHeight="false" outlineLevel="0" collapsed="false">
      <c r="A209" s="68" t="s">
        <v>42</v>
      </c>
      <c r="B209" s="35"/>
      <c r="C209" s="37" t="n">
        <v>5029</v>
      </c>
      <c r="D209" s="37" t="n">
        <v>5067.7</v>
      </c>
      <c r="E209" s="37" t="n">
        <v>5120</v>
      </c>
      <c r="F209" s="37" t="n">
        <v>5203.3</v>
      </c>
      <c r="G209" s="37" t="n">
        <v>5226</v>
      </c>
      <c r="H209" s="37" t="n">
        <v>5245</v>
      </c>
      <c r="I209" s="37" t="n">
        <v>5262.8</v>
      </c>
      <c r="J209" s="37" t="n">
        <v>5273</v>
      </c>
      <c r="K209" s="37" t="n">
        <v>5282.2</v>
      </c>
      <c r="L209" s="37" t="n">
        <v>5309</v>
      </c>
      <c r="M209" s="37" t="n">
        <v>5327</v>
      </c>
      <c r="N209" s="37" t="n">
        <v>5369</v>
      </c>
      <c r="O209" s="37" t="n">
        <v>5400</v>
      </c>
      <c r="P209" s="35"/>
      <c r="Q209" s="35"/>
      <c r="R209" s="35"/>
      <c r="S209" s="35"/>
    </row>
    <row r="210" customFormat="false" ht="12.75" hidden="false" customHeight="false" outlineLevel="0" collapsed="false">
      <c r="A210" s="38" t="s">
        <v>43</v>
      </c>
      <c r="B210" s="35"/>
      <c r="C210" s="37" t="n">
        <v>44838</v>
      </c>
      <c r="D210" s="37" t="n">
        <v>45428</v>
      </c>
      <c r="E210" s="37" t="n">
        <v>46679</v>
      </c>
      <c r="F210" s="37" t="n">
        <v>50372</v>
      </c>
      <c r="G210" s="37" t="n">
        <v>53574</v>
      </c>
      <c r="H210" s="37" t="n">
        <v>57581</v>
      </c>
      <c r="I210" s="37" t="n">
        <v>61626</v>
      </c>
      <c r="J210" s="37" t="n">
        <v>65398</v>
      </c>
      <c r="K210" s="37" t="n">
        <v>69931</v>
      </c>
      <c r="L210" s="37" t="n">
        <v>72748</v>
      </c>
      <c r="M210" s="37" t="n">
        <v>74511</v>
      </c>
      <c r="N210" s="37" t="n">
        <v>75541</v>
      </c>
      <c r="O210" s="37" t="n">
        <v>75737</v>
      </c>
      <c r="P210" s="69"/>
      <c r="Q210" s="69"/>
      <c r="R210" s="69"/>
      <c r="S210" s="69"/>
    </row>
    <row r="211" customFormat="false" ht="12.75" hidden="false" customHeight="fals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</row>
    <row r="214" customFormat="false" ht="15" hidden="false" customHeight="false" outlineLevel="0" collapsed="false">
      <c r="A214" s="39" t="n">
        <v>2023</v>
      </c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</row>
    <row r="215" customFormat="false" ht="15" hidden="false" customHeight="false" outlineLevel="0" collapsed="false">
      <c r="A215" s="39" t="s">
        <v>23</v>
      </c>
      <c r="B215" s="42" t="s">
        <v>24</v>
      </c>
      <c r="C215" s="71" t="s">
        <v>2</v>
      </c>
      <c r="D215" s="71" t="s">
        <v>3</v>
      </c>
      <c r="E215" s="71" t="s">
        <v>4</v>
      </c>
      <c r="F215" s="71" t="s">
        <v>5</v>
      </c>
      <c r="G215" s="71" t="s">
        <v>6</v>
      </c>
      <c r="H215" s="71" t="s">
        <v>7</v>
      </c>
      <c r="I215" s="71" t="s">
        <v>8</v>
      </c>
      <c r="J215" s="71" t="s">
        <v>9</v>
      </c>
      <c r="K215" s="71" t="s">
        <v>10</v>
      </c>
      <c r="L215" s="71" t="s">
        <v>11</v>
      </c>
      <c r="M215" s="71" t="s">
        <v>12</v>
      </c>
      <c r="N215" s="71" t="s">
        <v>13</v>
      </c>
      <c r="O215" s="42"/>
      <c r="P215" s="42"/>
      <c r="Q215" s="42"/>
      <c r="R215" s="42"/>
      <c r="S215" s="42"/>
    </row>
    <row r="216" customFormat="false" ht="12.75" hidden="false" customHeight="false" outlineLevel="0" collapsed="false">
      <c r="A216" s="42"/>
      <c r="B216" s="42"/>
      <c r="C216" s="43" t="n">
        <v>44927</v>
      </c>
      <c r="D216" s="43" t="n">
        <v>44958</v>
      </c>
      <c r="E216" s="43" t="n">
        <v>44986</v>
      </c>
      <c r="F216" s="43" t="n">
        <v>45017</v>
      </c>
      <c r="G216" s="43" t="n">
        <v>45048</v>
      </c>
      <c r="H216" s="43" t="n">
        <v>45078</v>
      </c>
      <c r="I216" s="43" t="n">
        <v>45108</v>
      </c>
      <c r="J216" s="43" t="n">
        <v>45139</v>
      </c>
      <c r="K216" s="43" t="n">
        <v>45170</v>
      </c>
      <c r="L216" s="43" t="n">
        <v>45204</v>
      </c>
      <c r="M216" s="43" t="n">
        <v>45233</v>
      </c>
      <c r="N216" s="43" t="n">
        <v>45264</v>
      </c>
      <c r="O216" s="43" t="n">
        <v>45291</v>
      </c>
      <c r="P216" s="42"/>
      <c r="Q216" s="42"/>
      <c r="R216" s="42"/>
      <c r="S216" s="42"/>
    </row>
    <row r="217" customFormat="false" ht="12.75" hidden="false" customHeight="false" outlineLevel="0" collapsed="false">
      <c r="A217" s="45" t="s">
        <v>44</v>
      </c>
      <c r="B217" s="42"/>
      <c r="C217" s="44" t="n">
        <v>631460</v>
      </c>
      <c r="D217" s="44" t="n">
        <v>634977</v>
      </c>
      <c r="E217" s="44" t="n">
        <v>637601</v>
      </c>
      <c r="F217" s="44" t="n">
        <v>640161</v>
      </c>
      <c r="G217" s="44" t="n">
        <v>642157</v>
      </c>
      <c r="H217" s="44" t="n">
        <v>643415</v>
      </c>
      <c r="I217" s="44" t="n">
        <v>645068</v>
      </c>
      <c r="J217" s="44" t="n">
        <v>646407</v>
      </c>
      <c r="K217" s="44" t="n">
        <v>648067</v>
      </c>
      <c r="L217" s="44" t="n">
        <v>650127</v>
      </c>
      <c r="M217" s="44" t="n">
        <v>652477</v>
      </c>
      <c r="N217" s="44" t="n">
        <v>655222</v>
      </c>
      <c r="O217" s="44" t="n">
        <v>657978</v>
      </c>
      <c r="P217" s="42"/>
      <c r="Q217" s="42"/>
      <c r="R217" s="42"/>
      <c r="S217" s="42"/>
    </row>
    <row r="218" customFormat="false" ht="12.75" hidden="false" customHeight="false" outlineLevel="0" collapsed="false">
      <c r="A218" s="42" t="s">
        <v>28</v>
      </c>
      <c r="B218" s="42"/>
      <c r="C218" s="44" t="n">
        <v>394266</v>
      </c>
      <c r="D218" s="44" t="n">
        <v>396865</v>
      </c>
      <c r="E218" s="44" t="n">
        <v>398795</v>
      </c>
      <c r="F218" s="44" t="n">
        <v>400629</v>
      </c>
      <c r="G218" s="44" t="n">
        <v>402150</v>
      </c>
      <c r="H218" s="44" t="n">
        <v>403473</v>
      </c>
      <c r="I218" s="44" t="n">
        <v>404605</v>
      </c>
      <c r="J218" s="44" t="n">
        <v>405506</v>
      </c>
      <c r="K218" s="44" t="n">
        <v>406571</v>
      </c>
      <c r="L218" s="44" t="n">
        <v>407875</v>
      </c>
      <c r="M218" s="44" t="n">
        <v>409435</v>
      </c>
      <c r="N218" s="44" t="n">
        <v>411390</v>
      </c>
      <c r="O218" s="44" t="n">
        <v>413393</v>
      </c>
      <c r="P218" s="42"/>
      <c r="Q218" s="42"/>
      <c r="R218" s="42"/>
      <c r="S218" s="42"/>
    </row>
    <row r="219" customFormat="false" ht="12.75" hidden="false" customHeight="false" outlineLevel="0" collapsed="false">
      <c r="A219" s="42" t="s">
        <v>45</v>
      </c>
      <c r="B219" s="42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2"/>
      <c r="Q219" s="42"/>
      <c r="R219" s="42"/>
      <c r="S219" s="42"/>
    </row>
    <row r="220" customFormat="false" ht="12.75" hidden="false" customHeight="false" outlineLevel="0" collapsed="false">
      <c r="A220" s="42" t="s">
        <v>30</v>
      </c>
      <c r="B220" s="42"/>
      <c r="C220" s="72" t="n">
        <v>1193</v>
      </c>
      <c r="D220" s="44" t="n">
        <v>1251</v>
      </c>
      <c r="E220" s="44" t="n">
        <v>1290</v>
      </c>
      <c r="F220" s="44" t="n">
        <v>1325</v>
      </c>
      <c r="G220" s="44" t="n">
        <v>1359</v>
      </c>
      <c r="H220" s="44" t="n">
        <v>1393</v>
      </c>
      <c r="I220" s="44" t="n">
        <v>1420</v>
      </c>
      <c r="J220" s="44" t="n">
        <v>1439</v>
      </c>
      <c r="K220" s="44" t="n">
        <v>1471</v>
      </c>
      <c r="L220" s="44" t="n">
        <v>1512</v>
      </c>
      <c r="M220" s="44" t="n">
        <v>1549</v>
      </c>
      <c r="N220" s="44" t="n">
        <v>1586</v>
      </c>
      <c r="O220" s="44" t="n">
        <v>1628</v>
      </c>
      <c r="P220" s="42"/>
      <c r="Q220" s="42"/>
      <c r="R220" s="42"/>
      <c r="S220" s="42"/>
    </row>
    <row r="221" customFormat="false" ht="12.75" hidden="false" customHeight="false" outlineLevel="0" collapsed="false">
      <c r="A221" s="42" t="s">
        <v>31</v>
      </c>
      <c r="B221" s="42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 t="s">
        <v>32</v>
      </c>
      <c r="Q221" s="42"/>
      <c r="R221" s="42"/>
      <c r="S221" s="42"/>
    </row>
    <row r="222" customFormat="false" ht="12.75" hidden="false" customHeight="false" outlineLevel="0" collapsed="false">
      <c r="A222" s="42" t="s">
        <v>33</v>
      </c>
      <c r="B222" s="42"/>
      <c r="C222" s="44" t="n">
        <v>7889</v>
      </c>
      <c r="D222" s="44" t="n">
        <v>11702</v>
      </c>
      <c r="E222" s="44" t="n">
        <v>15017</v>
      </c>
      <c r="F222" s="44" t="n">
        <v>18911</v>
      </c>
      <c r="G222" s="44" t="n">
        <v>21305</v>
      </c>
      <c r="H222" s="44" t="n">
        <v>24934</v>
      </c>
      <c r="I222" s="44" t="n">
        <v>28267.6</v>
      </c>
      <c r="J222" s="44" t="n">
        <v>31211</v>
      </c>
      <c r="K222" s="44" t="n">
        <v>32710</v>
      </c>
      <c r="L222" s="44" t="n">
        <v>35900</v>
      </c>
      <c r="M222" s="44" t="n">
        <v>39132</v>
      </c>
      <c r="N222" s="44" t="n">
        <v>42389</v>
      </c>
      <c r="O222" s="44" t="n">
        <v>45306.3</v>
      </c>
      <c r="P222" s="42"/>
      <c r="Q222" s="42"/>
      <c r="R222" s="42"/>
      <c r="S222" s="42"/>
    </row>
    <row r="223" customFormat="false" ht="12.75" hidden="false" customHeight="false" outlineLevel="0" collapsed="false">
      <c r="A223" s="42" t="s">
        <v>34</v>
      </c>
      <c r="B223" s="42"/>
      <c r="C223" s="44" t="n">
        <v>3059</v>
      </c>
      <c r="D223" s="44" t="n">
        <v>5447</v>
      </c>
      <c r="E223" s="44" t="n">
        <v>7428</v>
      </c>
      <c r="F223" s="44" t="n">
        <v>9561</v>
      </c>
      <c r="G223" s="44" t="n">
        <v>10920</v>
      </c>
      <c r="H223" s="44" t="n">
        <v>12274</v>
      </c>
      <c r="I223" s="44" t="n">
        <v>13668.3</v>
      </c>
      <c r="J223" s="44" t="n">
        <v>14972</v>
      </c>
      <c r="K223" s="44" t="n">
        <v>16015</v>
      </c>
      <c r="L223" s="44" t="n">
        <v>17809</v>
      </c>
      <c r="M223" s="44" t="n">
        <v>19653</v>
      </c>
      <c r="N223" s="44" t="n">
        <v>21678</v>
      </c>
      <c r="O223" s="44" t="n">
        <v>24349.5</v>
      </c>
      <c r="P223" s="42"/>
      <c r="Q223" s="42"/>
      <c r="R223" s="42"/>
      <c r="S223" s="42"/>
    </row>
    <row r="224" customFormat="false" ht="12.75" hidden="false" customHeight="false" outlineLevel="0" collapsed="false">
      <c r="A224" s="42" t="s">
        <v>35</v>
      </c>
      <c r="B224" s="42"/>
      <c r="C224" s="44" t="n">
        <v>79794</v>
      </c>
      <c r="D224" s="44" t="n">
        <v>81020</v>
      </c>
      <c r="E224" s="44" t="n">
        <v>81975</v>
      </c>
      <c r="F224" s="44" t="n">
        <v>82965</v>
      </c>
      <c r="G224" s="44" t="n">
        <v>83689</v>
      </c>
      <c r="H224" s="44" t="n">
        <v>84567</v>
      </c>
      <c r="I224" s="44" t="n">
        <v>85224.3</v>
      </c>
      <c r="J224" s="44" t="n">
        <v>85731</v>
      </c>
      <c r="K224" s="44" t="n">
        <v>86288</v>
      </c>
      <c r="L224" s="44" t="n">
        <v>87091</v>
      </c>
      <c r="M224" s="44" t="n">
        <v>88120</v>
      </c>
      <c r="N224" s="44" t="n">
        <v>89287</v>
      </c>
      <c r="O224" s="44" t="n">
        <v>90443.6</v>
      </c>
      <c r="P224" s="42"/>
      <c r="Q224" s="42"/>
      <c r="R224" s="42"/>
      <c r="S224" s="42"/>
    </row>
    <row r="225" customFormat="false" ht="12.75" hidden="false" customHeight="false" outlineLevel="0" collapsed="false">
      <c r="A225" s="42" t="s">
        <v>39</v>
      </c>
      <c r="B225" s="42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 t="s">
        <v>32</v>
      </c>
      <c r="Q225" s="42"/>
      <c r="R225" s="42"/>
      <c r="S225" s="42"/>
    </row>
    <row r="226" customFormat="false" ht="12.75" hidden="false" customHeight="false" outlineLevel="0" collapsed="false">
      <c r="A226" s="42" t="s">
        <v>40</v>
      </c>
      <c r="B226" s="42"/>
      <c r="C226" s="44" t="n">
        <v>252583</v>
      </c>
      <c r="D226" s="44" t="n">
        <v>256771</v>
      </c>
      <c r="E226" s="44" t="n">
        <v>260184</v>
      </c>
      <c r="F226" s="44" t="n">
        <v>263686</v>
      </c>
      <c r="G226" s="44" t="n">
        <v>265793</v>
      </c>
      <c r="H226" s="44" t="n">
        <v>267795</v>
      </c>
      <c r="I226" s="44" t="n">
        <v>269296.5</v>
      </c>
      <c r="J226" s="44" t="n">
        <v>270612</v>
      </c>
      <c r="K226" s="44" t="n">
        <v>271397</v>
      </c>
      <c r="L226" s="44" t="n">
        <v>273510</v>
      </c>
      <c r="M226" s="44" t="n">
        <v>277293</v>
      </c>
      <c r="N226" s="44" t="n">
        <v>281404</v>
      </c>
      <c r="O226" s="44" t="n">
        <v>285022.4</v>
      </c>
      <c r="P226" s="42"/>
      <c r="Q226" s="42"/>
      <c r="R226" s="42"/>
      <c r="S226" s="42"/>
    </row>
    <row r="227" customFormat="false" ht="12.75" hidden="false" customHeight="false" outlineLevel="0" collapsed="false">
      <c r="A227" s="45" t="s">
        <v>46</v>
      </c>
      <c r="B227" s="42"/>
      <c r="C227" s="44" t="n">
        <v>302111</v>
      </c>
      <c r="D227" s="44" t="n">
        <v>322764</v>
      </c>
      <c r="E227" s="44" t="n">
        <v>338269</v>
      </c>
      <c r="F227" s="44" t="n">
        <v>353055</v>
      </c>
      <c r="G227" s="44" t="n">
        <v>353055</v>
      </c>
      <c r="H227" s="44" t="n">
        <v>463879</v>
      </c>
      <c r="I227" s="44" t="n">
        <v>469443.48</v>
      </c>
      <c r="J227" s="44" t="n">
        <v>474801</v>
      </c>
      <c r="K227" s="44" t="n">
        <v>481040</v>
      </c>
      <c r="L227" s="44" t="n">
        <v>488602</v>
      </c>
      <c r="M227" s="44" t="n">
        <v>505701</v>
      </c>
      <c r="N227" s="44" t="n">
        <v>524052</v>
      </c>
      <c r="O227" s="44" t="n">
        <v>549727.8</v>
      </c>
      <c r="P227" s="42"/>
      <c r="Q227" s="42"/>
      <c r="R227" s="42"/>
      <c r="S227" s="42"/>
    </row>
    <row r="228" customFormat="false" ht="13.8" hidden="false" customHeight="false" outlineLevel="0" collapsed="false">
      <c r="A228" s="73" t="s">
        <v>42</v>
      </c>
      <c r="B228" s="42"/>
      <c r="C228" s="44" t="n">
        <v>5400</v>
      </c>
      <c r="D228" s="44" t="n">
        <v>5450</v>
      </c>
      <c r="E228" s="44" t="n">
        <v>5479</v>
      </c>
      <c r="F228" s="44" t="n">
        <v>5511</v>
      </c>
      <c r="G228" s="44" t="n">
        <v>5521</v>
      </c>
      <c r="H228" s="44" t="n">
        <v>5534.2</v>
      </c>
      <c r="I228" s="44" t="n">
        <v>5556.3</v>
      </c>
      <c r="J228" s="44" t="n">
        <v>5575</v>
      </c>
      <c r="K228" s="44" t="n">
        <v>5606</v>
      </c>
      <c r="L228" s="44" t="n">
        <v>5632</v>
      </c>
      <c r="M228" s="44" t="n">
        <v>5674</v>
      </c>
      <c r="N228" s="44" t="n">
        <v>5722</v>
      </c>
      <c r="O228" s="44" t="n">
        <v>5801</v>
      </c>
      <c r="P228" s="42"/>
      <c r="Q228" s="42"/>
      <c r="R228" s="42"/>
      <c r="S228" s="42"/>
    </row>
    <row r="229" customFormat="false" ht="12.75" hidden="false" customHeight="false" outlineLevel="0" collapsed="false">
      <c r="A229" s="45" t="s">
        <v>43</v>
      </c>
      <c r="B229" s="42"/>
      <c r="C229" s="44" t="n">
        <v>75737</v>
      </c>
      <c r="D229" s="44" t="n">
        <v>76494</v>
      </c>
      <c r="E229" s="44" t="n">
        <v>78328</v>
      </c>
      <c r="F229" s="44" t="n">
        <v>80300</v>
      </c>
      <c r="G229" s="44" t="n">
        <v>82850</v>
      </c>
      <c r="H229" s="44" t="n">
        <v>86244</v>
      </c>
      <c r="I229" s="44" t="n">
        <v>90687</v>
      </c>
      <c r="J229" s="44" t="n">
        <v>93717</v>
      </c>
      <c r="K229" s="44" t="n">
        <v>96997</v>
      </c>
      <c r="L229" s="44" t="n">
        <v>100593</v>
      </c>
      <c r="M229" s="44" t="n">
        <v>102022</v>
      </c>
      <c r="N229" s="44" t="n">
        <v>102474</v>
      </c>
      <c r="O229" s="44" t="n">
        <v>103116</v>
      </c>
      <c r="P229" s="74"/>
      <c r="Q229" s="74"/>
      <c r="R229" s="74"/>
      <c r="S229" s="74"/>
    </row>
    <row r="230" customFormat="false" ht="12.75" hidden="false" customHeight="false" outlineLevel="0" collapsed="false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</row>
    <row r="235" customFormat="false" ht="15" hidden="false" customHeight="false" outlineLevel="0" collapsed="false">
      <c r="A235" s="39" t="n">
        <v>2024</v>
      </c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</row>
    <row r="236" customFormat="false" ht="15" hidden="false" customHeight="false" outlineLevel="0" collapsed="false">
      <c r="A236" s="39" t="s">
        <v>23</v>
      </c>
      <c r="B236" s="42" t="s">
        <v>24</v>
      </c>
      <c r="C236" s="71" t="s">
        <v>2</v>
      </c>
      <c r="D236" s="71" t="s">
        <v>3</v>
      </c>
      <c r="E236" s="71" t="s">
        <v>4</v>
      </c>
      <c r="F236" s="71" t="s">
        <v>5</v>
      </c>
      <c r="G236" s="71" t="s">
        <v>6</v>
      </c>
      <c r="H236" s="71" t="s">
        <v>7</v>
      </c>
      <c r="I236" s="71" t="s">
        <v>8</v>
      </c>
      <c r="J236" s="71" t="s">
        <v>9</v>
      </c>
      <c r="K236" s="71" t="s">
        <v>10</v>
      </c>
      <c r="L236" s="71" t="s">
        <v>11</v>
      </c>
      <c r="M236" s="71" t="s">
        <v>12</v>
      </c>
      <c r="N236" s="71" t="s">
        <v>13</v>
      </c>
      <c r="O236" s="42"/>
      <c r="P236" s="42"/>
      <c r="Q236" s="42"/>
      <c r="R236" s="42"/>
      <c r="S236" s="42"/>
    </row>
    <row r="237" customFormat="false" ht="12.75" hidden="false" customHeight="false" outlineLevel="0" collapsed="false">
      <c r="A237" s="42"/>
      <c r="B237" s="42"/>
      <c r="C237" s="43" t="n">
        <v>45303</v>
      </c>
      <c r="D237" s="43" t="n">
        <v>44958</v>
      </c>
      <c r="E237" s="43" t="n">
        <v>45352</v>
      </c>
      <c r="F237" s="43" t="n">
        <v>45384</v>
      </c>
      <c r="G237" s="43" t="n">
        <v>45414</v>
      </c>
      <c r="H237" s="43" t="n">
        <v>45446</v>
      </c>
      <c r="I237" s="43" t="n">
        <v>45474</v>
      </c>
      <c r="J237" s="43" t="n">
        <v>45505</v>
      </c>
      <c r="K237" s="43" t="n">
        <v>45537</v>
      </c>
      <c r="L237" s="43" t="n">
        <v>45566</v>
      </c>
      <c r="M237" s="43" t="n">
        <v>45600</v>
      </c>
      <c r="N237" s="43" t="n">
        <v>45262</v>
      </c>
      <c r="O237" s="43" t="n">
        <v>45657</v>
      </c>
      <c r="P237" s="42"/>
      <c r="Q237" s="42"/>
      <c r="R237" s="42"/>
      <c r="S237" s="42"/>
    </row>
    <row r="238" customFormat="false" ht="12.75" hidden="false" customHeight="false" outlineLevel="0" collapsed="false">
      <c r="A238" s="45" t="s">
        <v>44</v>
      </c>
      <c r="B238" s="42"/>
      <c r="C238" s="44" t="n">
        <v>15612</v>
      </c>
      <c r="D238" s="44" t="n">
        <v>18064</v>
      </c>
      <c r="E238" s="44" t="n">
        <v>20377</v>
      </c>
      <c r="F238" s="44" t="n">
        <v>22672</v>
      </c>
      <c r="G238" s="44" t="n">
        <v>25007</v>
      </c>
      <c r="H238" s="44" t="n">
        <v>26752</v>
      </c>
      <c r="I238" s="44" t="n">
        <v>28852</v>
      </c>
      <c r="J238" s="44" t="n">
        <v>30593</v>
      </c>
      <c r="K238" s="44" t="n">
        <v>32040</v>
      </c>
      <c r="L238" s="44" t="n">
        <v>34095</v>
      </c>
      <c r="M238" s="44" t="n">
        <v>36624</v>
      </c>
      <c r="N238" s="44" t="n">
        <v>39372</v>
      </c>
      <c r="O238" s="44" t="n">
        <v>41257</v>
      </c>
      <c r="P238" s="42"/>
      <c r="Q238" s="42"/>
      <c r="R238" s="42"/>
      <c r="S238" s="42"/>
    </row>
    <row r="239" customFormat="false" ht="12.75" hidden="false" customHeight="false" outlineLevel="0" collapsed="false">
      <c r="A239" s="42" t="s">
        <v>28</v>
      </c>
      <c r="B239" s="42"/>
      <c r="C239" s="44" t="n">
        <v>413393</v>
      </c>
      <c r="D239" s="44" t="n">
        <v>415136</v>
      </c>
      <c r="E239" s="44" t="n">
        <v>416727.3</v>
      </c>
      <c r="F239" s="44" t="n">
        <v>418364</v>
      </c>
      <c r="G239" s="44" t="n">
        <v>420070.4</v>
      </c>
      <c r="H239" s="44" t="n">
        <v>421323</v>
      </c>
      <c r="I239" s="44" t="n">
        <v>422777.1</v>
      </c>
      <c r="J239" s="44" t="n">
        <v>423990.5</v>
      </c>
      <c r="K239" s="44" t="n">
        <v>425044.3</v>
      </c>
      <c r="L239" s="44" t="n">
        <v>426363.9</v>
      </c>
      <c r="M239" s="44" t="n">
        <v>428077.8</v>
      </c>
      <c r="N239" s="44" t="n">
        <v>429971.9</v>
      </c>
      <c r="O239" s="44" t="n">
        <v>431259.4</v>
      </c>
      <c r="P239" s="42"/>
      <c r="Q239" s="42"/>
      <c r="R239" s="42"/>
      <c r="S239" s="42"/>
    </row>
    <row r="240" customFormat="false" ht="12.75" hidden="false" customHeight="false" outlineLevel="0" collapsed="false">
      <c r="A240" s="42" t="s">
        <v>45</v>
      </c>
      <c r="B240" s="42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2"/>
      <c r="Q240" s="42"/>
      <c r="R240" s="42"/>
      <c r="S240" s="42"/>
    </row>
    <row r="241" customFormat="false" ht="12.75" hidden="false" customHeight="false" outlineLevel="0" collapsed="false">
      <c r="A241" s="42" t="s">
        <v>30</v>
      </c>
      <c r="B241" s="42"/>
      <c r="C241" s="72" t="n">
        <v>1628</v>
      </c>
      <c r="D241" s="44" t="n">
        <v>1660</v>
      </c>
      <c r="E241" s="44" t="n">
        <v>1695</v>
      </c>
      <c r="F241" s="44" t="n">
        <v>1730</v>
      </c>
      <c r="G241" s="44" t="n">
        <v>1764</v>
      </c>
      <c r="H241" s="44" t="n">
        <v>1796</v>
      </c>
      <c r="I241" s="44" t="n">
        <v>1825</v>
      </c>
      <c r="J241" s="44" t="n">
        <v>1886</v>
      </c>
      <c r="K241" s="44" t="n">
        <v>1939</v>
      </c>
      <c r="L241" s="44" t="n">
        <v>1996</v>
      </c>
      <c r="M241" s="44" t="n">
        <v>2009</v>
      </c>
      <c r="N241" s="44" t="n">
        <v>2045</v>
      </c>
      <c r="O241" s="44" t="n">
        <v>2081</v>
      </c>
      <c r="P241" s="42"/>
      <c r="Q241" s="42"/>
      <c r="R241" s="42"/>
      <c r="S241" s="42"/>
    </row>
    <row r="242" customFormat="false" ht="12.75" hidden="false" customHeight="false" outlineLevel="0" collapsed="false">
      <c r="A242" s="42" t="s">
        <v>31</v>
      </c>
      <c r="B242" s="42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 t="s">
        <v>32</v>
      </c>
      <c r="Q242" s="42"/>
      <c r="R242" s="42"/>
      <c r="S242" s="42"/>
    </row>
    <row r="243" customFormat="false" ht="12.75" hidden="false" customHeight="false" outlineLevel="0" collapsed="false">
      <c r="A243" s="42" t="s">
        <v>33</v>
      </c>
      <c r="B243" s="42"/>
      <c r="C243" s="44" t="n">
        <v>45306</v>
      </c>
      <c r="D243" s="44" t="n">
        <v>48427.6</v>
      </c>
      <c r="E243" s="44" t="n">
        <v>51518.2</v>
      </c>
      <c r="F243" s="44" t="n">
        <v>54691</v>
      </c>
      <c r="G243" s="44" t="n">
        <v>57819.9</v>
      </c>
      <c r="H243" s="44" t="n">
        <v>59967.5</v>
      </c>
      <c r="I243" s="44" t="n">
        <v>63532.1</v>
      </c>
      <c r="J243" s="44" t="n">
        <v>66819</v>
      </c>
      <c r="K243" s="44" t="n">
        <v>69204.9</v>
      </c>
      <c r="L243" s="44" t="n">
        <v>72328.3</v>
      </c>
      <c r="M243" s="44" t="n">
        <v>75558.6</v>
      </c>
      <c r="N243" s="44" t="n">
        <v>79161.2</v>
      </c>
      <c r="O243" s="44" t="n">
        <v>81561.2</v>
      </c>
      <c r="P243" s="42"/>
      <c r="Q243" s="42"/>
      <c r="R243" s="42"/>
      <c r="S243" s="42"/>
    </row>
    <row r="244" customFormat="false" ht="12.75" hidden="false" customHeight="false" outlineLevel="0" collapsed="false">
      <c r="A244" s="42" t="s">
        <v>34</v>
      </c>
      <c r="B244" s="42"/>
      <c r="C244" s="44" t="n">
        <v>24349.5</v>
      </c>
      <c r="D244" s="44" t="n">
        <v>26364</v>
      </c>
      <c r="E244" s="44" t="n">
        <v>28641.6</v>
      </c>
      <c r="F244" s="44" t="n">
        <v>30854</v>
      </c>
      <c r="G244" s="44" t="n">
        <v>32876.6</v>
      </c>
      <c r="H244" s="44" t="n">
        <v>34419.6</v>
      </c>
      <c r="I244" s="44" t="n">
        <v>36124.4</v>
      </c>
      <c r="J244" s="44" t="n">
        <v>37812.3</v>
      </c>
      <c r="K244" s="44" t="n">
        <v>39057.3</v>
      </c>
      <c r="L244" s="44" t="n">
        <v>40907.3</v>
      </c>
      <c r="M244" s="44" t="n">
        <v>43317.4</v>
      </c>
      <c r="N244" s="44" t="n">
        <v>45722.3</v>
      </c>
      <c r="O244" s="44" t="n">
        <v>47332.2</v>
      </c>
      <c r="P244" s="42"/>
      <c r="Q244" s="42"/>
      <c r="R244" s="42"/>
      <c r="S244" s="42"/>
    </row>
    <row r="245" customFormat="false" ht="12.75" hidden="false" customHeight="false" outlineLevel="0" collapsed="false">
      <c r="A245" s="42" t="s">
        <v>35</v>
      </c>
      <c r="B245" s="42"/>
      <c r="C245" s="44" t="n">
        <v>90443.6</v>
      </c>
      <c r="D245" s="44" t="n">
        <v>92106.8</v>
      </c>
      <c r="E245" s="44" t="n">
        <v>93158</v>
      </c>
      <c r="F245" s="44" t="n">
        <v>94162</v>
      </c>
      <c r="G245" s="44" t="n">
        <v>95086.6</v>
      </c>
      <c r="H245" s="44" t="n">
        <v>95731.9</v>
      </c>
      <c r="I245" s="44" t="n">
        <v>96482.8</v>
      </c>
      <c r="J245" s="44" t="n">
        <v>97115.7</v>
      </c>
      <c r="K245" s="44" t="n">
        <v>97597.2</v>
      </c>
      <c r="L245" s="44" t="n">
        <v>98459.9</v>
      </c>
      <c r="M245" s="44" t="n">
        <v>99388.5</v>
      </c>
      <c r="N245" s="44" t="n">
        <v>100534.8</v>
      </c>
      <c r="O245" s="44" t="n">
        <v>101337.3</v>
      </c>
      <c r="P245" s="42"/>
      <c r="Q245" s="42"/>
      <c r="R245" s="42"/>
      <c r="S245" s="42"/>
    </row>
    <row r="246" customFormat="false" ht="12.75" hidden="false" customHeight="false" outlineLevel="0" collapsed="false">
      <c r="A246" s="42" t="s">
        <v>39</v>
      </c>
      <c r="B246" s="42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 t="s">
        <v>32</v>
      </c>
      <c r="Q246" s="42"/>
      <c r="R246" s="42"/>
      <c r="S246" s="42"/>
    </row>
    <row r="247" customFormat="false" ht="12.75" hidden="false" customHeight="false" outlineLevel="0" collapsed="false">
      <c r="A247" s="42" t="s">
        <v>40</v>
      </c>
      <c r="B247" s="42"/>
      <c r="C247" s="44" t="n">
        <v>285022.4</v>
      </c>
      <c r="D247" s="44" t="n">
        <v>288391.3</v>
      </c>
      <c r="E247" s="44" t="n">
        <v>292230.7</v>
      </c>
      <c r="F247" s="44" t="n">
        <v>294977</v>
      </c>
      <c r="G247" s="44" t="n">
        <v>297295.5</v>
      </c>
      <c r="H247" s="44" t="n">
        <v>298604.8</v>
      </c>
      <c r="I247" s="44" t="n">
        <v>299871.8</v>
      </c>
      <c r="J247" s="44" t="n">
        <v>300790.3</v>
      </c>
      <c r="K247" s="44" t="n">
        <v>301734.1</v>
      </c>
      <c r="L247" s="44" t="n">
        <v>304083.1</v>
      </c>
      <c r="M247" s="44" t="n">
        <v>307748.8</v>
      </c>
      <c r="N247" s="44" t="n">
        <v>312571.4</v>
      </c>
      <c r="O247" s="44" t="n">
        <v>315531.1</v>
      </c>
      <c r="P247" s="42"/>
      <c r="Q247" s="42"/>
      <c r="R247" s="42"/>
      <c r="S247" s="42"/>
    </row>
    <row r="248" customFormat="false" ht="12.75" hidden="false" customHeight="false" outlineLevel="0" collapsed="false">
      <c r="A248" s="45" t="s">
        <v>46</v>
      </c>
      <c r="B248" s="42"/>
      <c r="C248" s="44" t="n">
        <v>195672.8</v>
      </c>
      <c r="D248" s="44" t="n">
        <v>214818.6</v>
      </c>
      <c r="E248" s="44" t="n">
        <v>236481.4</v>
      </c>
      <c r="F248" s="44" t="n">
        <v>257941</v>
      </c>
      <c r="G248" s="44" t="n">
        <v>272650.2</v>
      </c>
      <c r="H248" s="44" t="n">
        <v>278270.39</v>
      </c>
      <c r="I248" s="44" t="n">
        <v>279262.54</v>
      </c>
      <c r="J248" s="44" t="n">
        <v>282489.37</v>
      </c>
      <c r="K248" s="44" t="n">
        <v>287548.83</v>
      </c>
      <c r="L248" s="44" t="n">
        <v>296055.95</v>
      </c>
      <c r="M248" s="44" t="n">
        <v>308650.57</v>
      </c>
      <c r="N248" s="44" t="n">
        <v>330820.45</v>
      </c>
      <c r="O248" s="44" t="n">
        <v>344018.96</v>
      </c>
      <c r="P248" s="42"/>
      <c r="Q248" s="42"/>
      <c r="R248" s="42"/>
      <c r="S248" s="42"/>
    </row>
    <row r="249" customFormat="false" ht="13.8" hidden="false" customHeight="false" outlineLevel="0" collapsed="false">
      <c r="A249" s="73" t="s">
        <v>42</v>
      </c>
      <c r="B249" s="42"/>
      <c r="C249" s="44" t="n">
        <v>5801</v>
      </c>
      <c r="D249" s="44" t="n">
        <v>5847.3</v>
      </c>
      <c r="E249" s="44" t="n">
        <v>5901.1</v>
      </c>
      <c r="F249" s="44" t="n">
        <v>5961.2</v>
      </c>
      <c r="G249" s="44" t="n">
        <v>5998</v>
      </c>
      <c r="H249" s="44" t="n">
        <v>6015.9</v>
      </c>
      <c r="I249" s="44" t="n">
        <v>6017.5</v>
      </c>
      <c r="J249" s="44" t="n">
        <v>6030.6</v>
      </c>
      <c r="K249" s="44" t="n">
        <v>6052.6</v>
      </c>
      <c r="L249" s="44" t="n">
        <v>6076.9</v>
      </c>
      <c r="M249" s="44" t="n">
        <v>6099.45</v>
      </c>
      <c r="N249" s="44" t="n">
        <v>6151</v>
      </c>
      <c r="O249" s="44" t="n">
        <v>6182.1</v>
      </c>
      <c r="P249" s="42"/>
      <c r="Q249" s="42"/>
      <c r="R249" s="42"/>
      <c r="S249" s="42"/>
    </row>
    <row r="250" customFormat="false" ht="12.75" hidden="false" customHeight="false" outlineLevel="0" collapsed="false">
      <c r="A250" s="45" t="s">
        <v>43</v>
      </c>
      <c r="B250" s="42"/>
      <c r="C250" s="44" t="n">
        <v>103116</v>
      </c>
      <c r="D250" s="44" t="n">
        <v>103918</v>
      </c>
      <c r="E250" s="44" t="n">
        <v>105005</v>
      </c>
      <c r="F250" s="44" t="n">
        <v>107113</v>
      </c>
      <c r="G250" s="44" t="n">
        <v>109845</v>
      </c>
      <c r="H250" s="44" t="n">
        <v>112702</v>
      </c>
      <c r="I250" s="44" t="n">
        <v>115868</v>
      </c>
      <c r="J250" s="44" t="n">
        <v>119211</v>
      </c>
      <c r="K250" s="44" t="n">
        <v>122843</v>
      </c>
      <c r="L250" s="44" t="n">
        <v>124860</v>
      </c>
      <c r="M250" s="44" t="n">
        <v>126218</v>
      </c>
      <c r="N250" s="44" t="n">
        <v>126846</v>
      </c>
      <c r="O250" s="44" t="n">
        <v>127033</v>
      </c>
      <c r="P250" s="74"/>
      <c r="Q250" s="74"/>
      <c r="R250" s="74"/>
      <c r="S250" s="74"/>
    </row>
    <row r="251" customFormat="false" ht="12.75" hidden="false" customHeight="false" outlineLevel="0" collapsed="false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</row>
    <row r="256" customFormat="false" ht="15" hidden="false" customHeight="false" outlineLevel="0" collapsed="false">
      <c r="A256" s="39" t="n">
        <v>2025</v>
      </c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</row>
    <row r="257" customFormat="false" ht="15" hidden="false" customHeight="false" outlineLevel="0" collapsed="false">
      <c r="A257" s="39" t="s">
        <v>23</v>
      </c>
      <c r="B257" s="42" t="s">
        <v>24</v>
      </c>
      <c r="C257" s="71" t="s">
        <v>2</v>
      </c>
      <c r="D257" s="71" t="s">
        <v>3</v>
      </c>
      <c r="E257" s="71" t="s">
        <v>4</v>
      </c>
      <c r="F257" s="71" t="s">
        <v>5</v>
      </c>
      <c r="G257" s="71" t="s">
        <v>6</v>
      </c>
      <c r="H257" s="71" t="s">
        <v>7</v>
      </c>
      <c r="I257" s="71" t="s">
        <v>8</v>
      </c>
      <c r="J257" s="71" t="s">
        <v>9</v>
      </c>
      <c r="K257" s="71" t="s">
        <v>10</v>
      </c>
      <c r="L257" s="71" t="s">
        <v>11</v>
      </c>
      <c r="M257" s="71" t="s">
        <v>12</v>
      </c>
      <c r="N257" s="71" t="s">
        <v>13</v>
      </c>
      <c r="O257" s="42"/>
      <c r="P257" s="42"/>
      <c r="Q257" s="42"/>
      <c r="R257" s="42"/>
      <c r="S257" s="42"/>
    </row>
    <row r="258" customFormat="false" ht="12.75" hidden="false" customHeight="false" outlineLevel="0" collapsed="false">
      <c r="A258" s="42"/>
      <c r="B258" s="42"/>
      <c r="C258" s="43" t="n">
        <v>45669</v>
      </c>
      <c r="D258" s="43" t="n">
        <v>45689</v>
      </c>
      <c r="E258" s="43" t="n">
        <v>45717</v>
      </c>
      <c r="F258" s="43" t="n">
        <v>45749</v>
      </c>
      <c r="G258" s="43" t="n">
        <v>45782</v>
      </c>
      <c r="H258" s="43" t="n">
        <v>45811</v>
      </c>
      <c r="I258" s="43" t="n">
        <v>45839</v>
      </c>
      <c r="J258" s="43" t="n">
        <v>45870</v>
      </c>
      <c r="K258" s="43" t="n">
        <v>45902</v>
      </c>
      <c r="L258" s="43" t="n">
        <v>45931</v>
      </c>
      <c r="M258" s="43" t="n">
        <v>45964</v>
      </c>
      <c r="N258" s="43" t="n">
        <v>45993</v>
      </c>
      <c r="O258" s="43" t="n">
        <v>46022</v>
      </c>
      <c r="P258" s="42"/>
      <c r="Q258" s="42"/>
      <c r="R258" s="42"/>
      <c r="S258" s="42"/>
    </row>
    <row r="259" customFormat="false" ht="12.75" hidden="false" customHeight="false" outlineLevel="0" collapsed="false">
      <c r="A259" s="45" t="s">
        <v>44</v>
      </c>
      <c r="B259" s="42"/>
      <c r="C259" s="44" t="n">
        <v>41257</v>
      </c>
      <c r="D259" s="44" t="n">
        <v>45161</v>
      </c>
      <c r="E259" s="44" t="n">
        <v>48021</v>
      </c>
      <c r="F259" s="44" t="n">
        <v>50906</v>
      </c>
      <c r="G259" s="44" t="n">
        <v>53178</v>
      </c>
      <c r="H259" s="44" t="n">
        <v>55257</v>
      </c>
      <c r="I259" s="44" t="n">
        <v>56917</v>
      </c>
      <c r="J259" s="44" t="n">
        <v>59025</v>
      </c>
      <c r="K259" s="44" t="n">
        <v>60573</v>
      </c>
      <c r="L259" s="44" t="n">
        <v>62871</v>
      </c>
      <c r="M259" s="44" t="n">
        <v>65697</v>
      </c>
      <c r="N259" s="44" t="n">
        <v>68439</v>
      </c>
      <c r="O259" s="44" t="n">
        <v>70293</v>
      </c>
      <c r="P259" s="42"/>
      <c r="Q259" s="42"/>
      <c r="R259" s="42"/>
      <c r="S259" s="42"/>
    </row>
    <row r="260" customFormat="false" ht="12.75" hidden="false" customHeight="false" outlineLevel="0" collapsed="false">
      <c r="A260" s="42" t="s">
        <v>28</v>
      </c>
      <c r="B260" s="42"/>
      <c r="C260" s="44" t="n">
        <v>431259.4</v>
      </c>
      <c r="D260" s="44" t="n">
        <v>434061</v>
      </c>
      <c r="E260" s="44" t="n">
        <v>436098.2</v>
      </c>
      <c r="F260" s="44" t="n">
        <v>438197.9</v>
      </c>
      <c r="G260" s="44" t="n">
        <v>439800.2</v>
      </c>
      <c r="H260" s="44" t="n">
        <v>441255.5</v>
      </c>
      <c r="I260" s="44" t="n">
        <v>442395.1</v>
      </c>
      <c r="J260" s="44" t="n">
        <v>443839.9</v>
      </c>
      <c r="K260" s="44" t="n">
        <v>444890.3</v>
      </c>
      <c r="L260" s="44" t="n">
        <v>446400.3</v>
      </c>
      <c r="M260" s="44" t="n">
        <v>448319.2</v>
      </c>
      <c r="N260" s="44" t="n">
        <v>450230.9</v>
      </c>
      <c r="O260" s="44" t="n">
        <v>451509.1</v>
      </c>
      <c r="P260" s="42"/>
      <c r="Q260" s="42"/>
      <c r="R260" s="42"/>
      <c r="S260" s="42"/>
    </row>
    <row r="261" customFormat="false" ht="12.75" hidden="false" customHeight="false" outlineLevel="0" collapsed="false">
      <c r="A261" s="42" t="s">
        <v>45</v>
      </c>
      <c r="B261" s="42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2"/>
      <c r="Q261" s="42"/>
      <c r="R261" s="42"/>
      <c r="S261" s="42"/>
    </row>
    <row r="262" customFormat="false" ht="12.75" hidden="false" customHeight="false" outlineLevel="0" collapsed="false">
      <c r="A262" s="42" t="s">
        <v>30</v>
      </c>
      <c r="B262" s="42"/>
      <c r="C262" s="72" t="n">
        <v>2081</v>
      </c>
      <c r="D262" s="44" t="n">
        <v>2170</v>
      </c>
      <c r="E262" s="44" t="n">
        <v>2216</v>
      </c>
      <c r="F262" s="44" t="n">
        <v>2261</v>
      </c>
      <c r="G262" s="44" t="n">
        <v>2323</v>
      </c>
      <c r="H262" s="44" t="n">
        <v>2353</v>
      </c>
      <c r="I262" s="44" t="n">
        <v>2377</v>
      </c>
      <c r="J262" s="44" t="n">
        <v>2404</v>
      </c>
      <c r="K262" s="44" t="n">
        <v>2427</v>
      </c>
      <c r="L262" s="44" t="n">
        <v>2463</v>
      </c>
      <c r="M262" s="44" t="n">
        <v>2503</v>
      </c>
      <c r="N262" s="44" t="n">
        <v>2528</v>
      </c>
      <c r="O262" s="44" t="n">
        <v>2548</v>
      </c>
      <c r="P262" s="42"/>
      <c r="Q262" s="42"/>
      <c r="R262" s="42"/>
      <c r="S262" s="42"/>
    </row>
    <row r="263" customFormat="false" ht="12.75" hidden="false" customHeight="false" outlineLevel="0" collapsed="false">
      <c r="A263" s="42" t="s">
        <v>31</v>
      </c>
      <c r="B263" s="42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 t="s">
        <v>32</v>
      </c>
      <c r="Q263" s="42"/>
      <c r="R263" s="42"/>
      <c r="S263" s="42"/>
    </row>
    <row r="264" customFormat="false" ht="12.75" hidden="false" customHeight="false" outlineLevel="0" collapsed="false">
      <c r="A264" s="42" t="s">
        <v>33</v>
      </c>
      <c r="B264" s="42"/>
      <c r="C264" s="44" t="n">
        <v>81561.2</v>
      </c>
      <c r="D264" s="44" t="n">
        <v>85475.1</v>
      </c>
      <c r="E264" s="44" t="n">
        <v>88726.3</v>
      </c>
      <c r="F264" s="44" t="n">
        <v>91930.3</v>
      </c>
      <c r="G264" s="44" t="n">
        <v>94468.3</v>
      </c>
      <c r="H264" s="44" t="n">
        <v>97683.2</v>
      </c>
      <c r="I264" s="44" t="n">
        <v>99985.8</v>
      </c>
      <c r="J264" s="44" t="n">
        <v>103352.2</v>
      </c>
      <c r="K264" s="44" t="n">
        <v>105873.3</v>
      </c>
      <c r="L264" s="44" t="n">
        <v>108481.5</v>
      </c>
      <c r="M264" s="44" t="n">
        <v>111636.7</v>
      </c>
      <c r="N264" s="44" t="n">
        <v>114728.1</v>
      </c>
      <c r="O264" s="44" t="n">
        <v>116903.9</v>
      </c>
      <c r="P264" s="42"/>
      <c r="Q264" s="42"/>
      <c r="R264" s="42"/>
      <c r="S264" s="42"/>
    </row>
    <row r="265" customFormat="false" ht="12.75" hidden="false" customHeight="false" outlineLevel="0" collapsed="false">
      <c r="A265" s="42" t="s">
        <v>34</v>
      </c>
      <c r="B265" s="42"/>
      <c r="C265" s="44" t="n">
        <v>47332.2</v>
      </c>
      <c r="D265" s="44" t="n">
        <v>50432.7</v>
      </c>
      <c r="E265" s="44" t="n">
        <v>52675.3</v>
      </c>
      <c r="F265" s="44" t="n">
        <v>54794.8</v>
      </c>
      <c r="G265" s="44" t="n">
        <v>56354.7</v>
      </c>
      <c r="H265" s="44" t="n">
        <v>57990.7</v>
      </c>
      <c r="I265" s="44" t="n">
        <v>59008.5</v>
      </c>
      <c r="J265" s="44" t="n">
        <v>60635.2</v>
      </c>
      <c r="K265" s="44" t="n">
        <v>61994.8</v>
      </c>
      <c r="L265" s="44" t="n">
        <v>63563.1</v>
      </c>
      <c r="M265" s="44" t="n">
        <v>65784</v>
      </c>
      <c r="N265" s="44" t="n">
        <v>68095.1</v>
      </c>
      <c r="O265" s="44" t="n">
        <v>69660.6</v>
      </c>
      <c r="P265" s="42"/>
      <c r="Q265" s="42"/>
      <c r="R265" s="42"/>
      <c r="S265" s="42"/>
    </row>
    <row r="266" customFormat="false" ht="12.75" hidden="false" customHeight="false" outlineLevel="0" collapsed="false">
      <c r="A266" s="42" t="s">
        <v>35</v>
      </c>
      <c r="B266" s="42"/>
      <c r="C266" s="44" t="n">
        <v>101337.3</v>
      </c>
      <c r="D266" s="44" t="n">
        <v>102738.4</v>
      </c>
      <c r="E266" s="44" t="n">
        <v>103787.8</v>
      </c>
      <c r="F266" s="44" t="n">
        <v>104756.8</v>
      </c>
      <c r="G266" s="44" t="n">
        <v>105418.6</v>
      </c>
      <c r="H266" s="44" t="n">
        <v>106137</v>
      </c>
      <c r="I266" s="44" t="n">
        <v>106628.1</v>
      </c>
      <c r="J266" s="44" t="n">
        <v>107230.3</v>
      </c>
      <c r="K266" s="44" t="n">
        <v>107684.5</v>
      </c>
      <c r="L266" s="44" t="n">
        <v>108400.3</v>
      </c>
      <c r="M266" s="44" t="n">
        <v>109430.5</v>
      </c>
      <c r="N266" s="44" t="n">
        <v>110526.9</v>
      </c>
      <c r="O266" s="44" t="n">
        <v>111294</v>
      </c>
      <c r="P266" s="42"/>
      <c r="Q266" s="42"/>
      <c r="R266" s="42"/>
      <c r="S266" s="42"/>
    </row>
    <row r="267" customFormat="false" ht="12.75" hidden="false" customHeight="false" outlineLevel="0" collapsed="false">
      <c r="A267" s="42" t="s">
        <v>39</v>
      </c>
      <c r="B267" s="42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 t="s">
        <v>32</v>
      </c>
      <c r="Q267" s="42"/>
      <c r="R267" s="42"/>
      <c r="S267" s="42"/>
    </row>
    <row r="268" customFormat="false" ht="12.75" hidden="false" customHeight="false" outlineLevel="0" collapsed="false">
      <c r="A268" s="42" t="s">
        <v>40</v>
      </c>
      <c r="B268" s="42"/>
      <c r="C268" s="44" t="n">
        <v>315531.1</v>
      </c>
      <c r="D268" s="44" t="n">
        <v>320010.6</v>
      </c>
      <c r="E268" s="44" t="n">
        <v>323411</v>
      </c>
      <c r="F268" s="44" t="n">
        <v>326252.5</v>
      </c>
      <c r="G268" s="44" t="n">
        <v>328016.4</v>
      </c>
      <c r="H268" s="44" t="n">
        <v>329938.6</v>
      </c>
      <c r="I268" s="44" t="n">
        <v>331279.3</v>
      </c>
      <c r="J268" s="44" t="n">
        <v>332921.8</v>
      </c>
      <c r="K268" s="44" t="n">
        <v>334052.4</v>
      </c>
      <c r="L268" s="44" t="n">
        <v>336345.3</v>
      </c>
      <c r="M268" s="44" t="n">
        <v>340259</v>
      </c>
      <c r="N268" s="44" t="n">
        <v>344437</v>
      </c>
      <c r="O268" s="44" t="n">
        <v>347019.1</v>
      </c>
      <c r="P268" s="42"/>
      <c r="Q268" s="42"/>
      <c r="R268" s="42"/>
      <c r="S268" s="42"/>
    </row>
    <row r="269" customFormat="false" ht="12.75" hidden="false" customHeight="false" outlineLevel="0" collapsed="false">
      <c r="A269" s="45" t="s">
        <v>46</v>
      </c>
      <c r="B269" s="42"/>
      <c r="C269" s="44" t="n">
        <v>344018.96</v>
      </c>
      <c r="D269" s="44" t="n">
        <v>378345.49</v>
      </c>
      <c r="E269" s="44" t="n">
        <v>400282.95</v>
      </c>
      <c r="F269" s="44" t="n">
        <v>424750.78</v>
      </c>
      <c r="G269" s="44" t="n">
        <v>436766.01</v>
      </c>
      <c r="H269" s="44" t="n">
        <v>445801</v>
      </c>
      <c r="I269" s="44" t="n">
        <v>448686.17</v>
      </c>
      <c r="J269" s="44" t="n">
        <v>453514.35</v>
      </c>
      <c r="K269" s="44" t="n">
        <v>460211</v>
      </c>
      <c r="L269" s="44" t="n">
        <v>465322.05</v>
      </c>
      <c r="M269" s="44" t="n">
        <v>474027.23</v>
      </c>
      <c r="N269" s="44" t="n">
        <v>482924.61</v>
      </c>
      <c r="O269" s="44" t="n">
        <v>496711.81</v>
      </c>
      <c r="P269" s="42"/>
      <c r="Q269" s="42"/>
      <c r="R269" s="42"/>
      <c r="S269" s="42"/>
    </row>
    <row r="270" customFormat="false" ht="13.8" hidden="false" customHeight="false" outlineLevel="0" collapsed="false">
      <c r="A270" s="73" t="s">
        <v>42</v>
      </c>
      <c r="B270" s="42"/>
      <c r="C270" s="44" t="n">
        <v>6182.1</v>
      </c>
      <c r="D270" s="44" t="n">
        <v>6295</v>
      </c>
      <c r="E270" s="44" t="n">
        <v>6352.4</v>
      </c>
      <c r="F270" s="44" t="n">
        <v>6419.4</v>
      </c>
      <c r="G270" s="44" t="n">
        <v>6455.4</v>
      </c>
      <c r="H270" s="44" t="n">
        <v>6477.1</v>
      </c>
      <c r="I270" s="44" t="n">
        <v>6485.4</v>
      </c>
      <c r="J270" s="44" t="n">
        <v>6495.5</v>
      </c>
      <c r="K270" s="44" t="n">
        <v>6516.8</v>
      </c>
      <c r="L270" s="44" t="n">
        <v>6526.7</v>
      </c>
      <c r="M270" s="44" t="n">
        <v>6535.6</v>
      </c>
      <c r="N270" s="44" t="n">
        <v>6549.4</v>
      </c>
      <c r="O270" s="44" t="n">
        <v>6563.5</v>
      </c>
      <c r="P270" s="42"/>
      <c r="Q270" s="42"/>
      <c r="R270" s="42"/>
      <c r="S270" s="42"/>
    </row>
    <row r="271" customFormat="false" ht="12.75" hidden="false" customHeight="false" outlineLevel="0" collapsed="false">
      <c r="A271" s="45" t="s">
        <v>43</v>
      </c>
      <c r="B271" s="42"/>
      <c r="C271" s="44" t="n">
        <v>127033</v>
      </c>
      <c r="D271" s="44" t="n">
        <v>128118</v>
      </c>
      <c r="E271" s="44" t="n">
        <v>129253</v>
      </c>
      <c r="F271" s="44" t="n">
        <v>131589</v>
      </c>
      <c r="G271" s="44" t="n">
        <v>135243</v>
      </c>
      <c r="H271" s="44" t="n">
        <v>138585</v>
      </c>
      <c r="I271" s="44" t="n">
        <v>142096</v>
      </c>
      <c r="J271" s="44" t="n">
        <v>145212</v>
      </c>
      <c r="K271" s="44" t="n">
        <v>148717</v>
      </c>
      <c r="L271" s="44" t="n">
        <v>150570</v>
      </c>
      <c r="M271" s="44" t="n">
        <v>151909</v>
      </c>
      <c r="N271" s="44" t="n">
        <v>152810</v>
      </c>
      <c r="O271" s="44" t="n">
        <v>153282</v>
      </c>
      <c r="P271" s="74"/>
      <c r="Q271" s="74"/>
      <c r="R271" s="74"/>
      <c r="S271" s="74"/>
    </row>
    <row r="272" customFormat="false" ht="12.75" hidden="false" customHeight="false" outlineLevel="0" collapsed="false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</row>
    <row r="275" customFormat="false" ht="15" hidden="false" customHeight="false" outlineLevel="0" collapsed="false">
      <c r="A275" s="39" t="n">
        <v>2026</v>
      </c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</row>
    <row r="276" customFormat="false" ht="15" hidden="false" customHeight="false" outlineLevel="0" collapsed="false">
      <c r="A276" s="39" t="s">
        <v>23</v>
      </c>
      <c r="B276" s="42" t="s">
        <v>24</v>
      </c>
      <c r="C276" s="71" t="s">
        <v>2</v>
      </c>
      <c r="D276" s="71" t="s">
        <v>3</v>
      </c>
      <c r="E276" s="71" t="s">
        <v>4</v>
      </c>
      <c r="F276" s="71" t="s">
        <v>5</v>
      </c>
      <c r="G276" s="71" t="s">
        <v>6</v>
      </c>
      <c r="H276" s="71" t="s">
        <v>7</v>
      </c>
      <c r="I276" s="71" t="s">
        <v>8</v>
      </c>
      <c r="J276" s="71" t="s">
        <v>9</v>
      </c>
      <c r="K276" s="71" t="s">
        <v>10</v>
      </c>
      <c r="L276" s="71" t="s">
        <v>11</v>
      </c>
      <c r="M276" s="71" t="s">
        <v>12</v>
      </c>
      <c r="N276" s="71" t="s">
        <v>13</v>
      </c>
      <c r="O276" s="42"/>
      <c r="P276" s="42"/>
      <c r="Q276" s="42"/>
      <c r="R276" s="42"/>
      <c r="S276" s="42"/>
    </row>
    <row r="277" customFormat="false" ht="12.75" hidden="false" customHeight="false" outlineLevel="0" collapsed="false">
      <c r="A277" s="42"/>
      <c r="B277" s="42"/>
      <c r="C277" s="43" t="n">
        <v>45669</v>
      </c>
      <c r="D277" s="43" t="n">
        <v>46055</v>
      </c>
      <c r="E277" s="43" t="n">
        <v>45717</v>
      </c>
      <c r="F277" s="43" t="n">
        <v>45749</v>
      </c>
      <c r="G277" s="43" t="n">
        <v>45782</v>
      </c>
      <c r="H277" s="43" t="n">
        <v>45811</v>
      </c>
      <c r="I277" s="43" t="n">
        <v>45839</v>
      </c>
      <c r="J277" s="43" t="n">
        <v>45870</v>
      </c>
      <c r="K277" s="43" t="n">
        <v>45902</v>
      </c>
      <c r="L277" s="43" t="n">
        <v>45931</v>
      </c>
      <c r="M277" s="43" t="n">
        <v>45964</v>
      </c>
      <c r="N277" s="43" t="n">
        <v>45993</v>
      </c>
      <c r="O277" s="43" t="n">
        <v>46022</v>
      </c>
      <c r="P277" s="42"/>
      <c r="Q277" s="42"/>
      <c r="R277" s="42"/>
      <c r="S277" s="42"/>
    </row>
    <row r="278" customFormat="false" ht="12.75" hidden="false" customHeight="false" outlineLevel="0" collapsed="false">
      <c r="A278" s="45" t="s">
        <v>44</v>
      </c>
      <c r="B278" s="42"/>
      <c r="C278" s="44" t="n">
        <v>70293</v>
      </c>
      <c r="D278" s="44" t="n">
        <v>75163</v>
      </c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2"/>
      <c r="Q278" s="42"/>
      <c r="R278" s="42"/>
      <c r="S278" s="42"/>
    </row>
    <row r="279" customFormat="false" ht="12.75" hidden="false" customHeight="false" outlineLevel="0" collapsed="false">
      <c r="A279" s="42" t="s">
        <v>28</v>
      </c>
      <c r="B279" s="42"/>
      <c r="C279" s="44" t="n">
        <v>451509.1</v>
      </c>
      <c r="D279" s="44" t="n">
        <v>455034.9</v>
      </c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2"/>
      <c r="Q279" s="42"/>
      <c r="R279" s="42"/>
      <c r="S279" s="42"/>
    </row>
    <row r="280" customFormat="false" ht="12.75" hidden="false" customHeight="false" outlineLevel="0" collapsed="false">
      <c r="A280" s="42" t="s">
        <v>45</v>
      </c>
      <c r="B280" s="42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2"/>
      <c r="Q280" s="42"/>
      <c r="R280" s="42"/>
      <c r="S280" s="42"/>
    </row>
    <row r="281" customFormat="false" ht="12.75" hidden="false" customHeight="false" outlineLevel="0" collapsed="false">
      <c r="A281" s="42" t="s">
        <v>30</v>
      </c>
      <c r="B281" s="42"/>
      <c r="C281" s="44" t="n">
        <v>2548</v>
      </c>
      <c r="D281" s="44" t="n">
        <v>2611</v>
      </c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2"/>
      <c r="Q281" s="42"/>
      <c r="R281" s="42"/>
      <c r="S281" s="42"/>
    </row>
    <row r="282" customFormat="false" ht="12.75" hidden="false" customHeight="false" outlineLevel="0" collapsed="false">
      <c r="A282" s="42" t="s">
        <v>31</v>
      </c>
      <c r="B282" s="42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 t="s">
        <v>32</v>
      </c>
      <c r="Q282" s="42"/>
      <c r="R282" s="42"/>
      <c r="S282" s="42"/>
    </row>
    <row r="283" customFormat="false" ht="12.75" hidden="false" customHeight="false" outlineLevel="0" collapsed="false">
      <c r="A283" s="42" t="s">
        <v>33</v>
      </c>
      <c r="B283" s="42"/>
      <c r="C283" s="44" t="n">
        <v>116903.9</v>
      </c>
      <c r="D283" s="44" t="n">
        <v>121310.1</v>
      </c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2"/>
      <c r="Q283" s="42"/>
      <c r="R283" s="42"/>
      <c r="S283" s="42"/>
    </row>
    <row r="284" customFormat="false" ht="12.75" hidden="false" customHeight="false" outlineLevel="0" collapsed="false">
      <c r="A284" s="42" t="s">
        <v>34</v>
      </c>
      <c r="B284" s="42"/>
      <c r="C284" s="44" t="n">
        <v>69660.6</v>
      </c>
      <c r="D284" s="44" t="n">
        <v>73171</v>
      </c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2"/>
      <c r="Q284" s="42"/>
      <c r="R284" s="42"/>
      <c r="S284" s="42"/>
    </row>
    <row r="285" customFormat="false" ht="12.75" hidden="false" customHeight="false" outlineLevel="0" collapsed="false">
      <c r="A285" s="42" t="s">
        <v>35</v>
      </c>
      <c r="B285" s="42"/>
      <c r="C285" s="44" t="n">
        <v>111294</v>
      </c>
      <c r="D285" s="44" t="n">
        <v>112870.2</v>
      </c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2"/>
      <c r="Q285" s="42"/>
      <c r="R285" s="42"/>
      <c r="S285" s="42"/>
    </row>
    <row r="286" customFormat="false" ht="12.75" hidden="false" customHeight="false" outlineLevel="0" collapsed="false">
      <c r="A286" s="42" t="s">
        <v>39</v>
      </c>
      <c r="B286" s="42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 t="s">
        <v>32</v>
      </c>
      <c r="Q286" s="42"/>
      <c r="R286" s="42"/>
      <c r="S286" s="42"/>
    </row>
    <row r="287" customFormat="false" ht="12.75" hidden="false" customHeight="false" outlineLevel="0" collapsed="false">
      <c r="A287" s="42" t="s">
        <v>40</v>
      </c>
      <c r="B287" s="42"/>
      <c r="C287" s="44" t="n">
        <v>347019.1</v>
      </c>
      <c r="D287" s="44" t="n">
        <v>352321.4</v>
      </c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2"/>
      <c r="Q287" s="42"/>
      <c r="R287" s="42"/>
      <c r="S287" s="42"/>
    </row>
    <row r="288" customFormat="false" ht="12.75" hidden="false" customHeight="false" outlineLevel="0" collapsed="false">
      <c r="A288" s="45" t="s">
        <v>46</v>
      </c>
      <c r="B288" s="42"/>
      <c r="C288" s="44" t="n">
        <v>496711.81</v>
      </c>
      <c r="D288" s="44" t="n">
        <v>536578.8</v>
      </c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2"/>
      <c r="Q288" s="42"/>
      <c r="R288" s="42"/>
      <c r="S288" s="42"/>
    </row>
    <row r="289" customFormat="false" ht="13.8" hidden="false" customHeight="false" outlineLevel="0" collapsed="false">
      <c r="A289" s="73" t="s">
        <v>42</v>
      </c>
      <c r="B289" s="42"/>
      <c r="C289" s="44" t="n">
        <v>14.1</v>
      </c>
      <c r="D289" s="44" t="n">
        <v>143.9</v>
      </c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2"/>
      <c r="Q289" s="42"/>
      <c r="R289" s="42"/>
      <c r="S289" s="42"/>
    </row>
    <row r="290" customFormat="false" ht="12.75" hidden="false" customHeight="false" outlineLevel="0" collapsed="false">
      <c r="A290" s="45" t="s">
        <v>43</v>
      </c>
      <c r="B290" s="42"/>
      <c r="C290" s="44" t="n">
        <v>153282</v>
      </c>
      <c r="D290" s="44" t="n">
        <v>154738</v>
      </c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74"/>
      <c r="Q290" s="74"/>
      <c r="R290" s="74"/>
      <c r="S290" s="74"/>
    </row>
    <row r="291" customFormat="false" ht="12.75" hidden="false" customHeight="false" outlineLevel="0" collapsed="false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9CC"/>
    <pageSetUpPr fitToPage="false"/>
  </sheetPr>
  <dimension ref="A2:T307"/>
  <sheetViews>
    <sheetView showFormulas="false" showGridLines="true" showRowColHeaders="true" showZeros="true" rightToLeft="false" tabSelected="true" showOutlineSymbols="true" defaultGridColor="true" view="normal" topLeftCell="A181" colorId="64" zoomScale="100" zoomScaleNormal="100" zoomScalePageLayoutView="100" workbookViewId="0">
      <selection pane="topLeft" activeCell="L207" activeCellId="0" sqref="L206:L207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8.7"/>
    <col collapsed="false" customWidth="true" hidden="false" outlineLevel="0" max="2" min="2" style="1" width="6.7"/>
    <col collapsed="false" customWidth="true" hidden="false" outlineLevel="0" max="3" min="3" style="1" width="2.7"/>
    <col collapsed="false" customWidth="true" hidden="false" outlineLevel="0" max="4" min="4" style="1" width="12.28"/>
    <col collapsed="false" customWidth="true" hidden="false" outlineLevel="0" max="5" min="5" style="1" width="12.15"/>
    <col collapsed="false" customWidth="true" hidden="false" outlineLevel="0" max="6" min="6" style="1" width="11.99"/>
    <col collapsed="false" customWidth="true" hidden="false" outlineLevel="0" max="7" min="7" style="1" width="12.42"/>
    <col collapsed="false" customWidth="true" hidden="false" outlineLevel="0" max="8" min="8" style="1" width="12.28"/>
    <col collapsed="false" customWidth="true" hidden="false" outlineLevel="0" max="10" min="10" style="1" width="12.85"/>
    <col collapsed="false" customWidth="true" hidden="false" outlineLevel="0" max="11" min="11" style="1" width="11.99"/>
    <col collapsed="false" customWidth="true" hidden="false" outlineLevel="0" max="14" min="14" style="1" width="12.42"/>
    <col collapsed="false" customWidth="true" hidden="false" outlineLevel="0" max="15" min="15" style="1" width="13.56"/>
    <col collapsed="false" customWidth="true" hidden="false" outlineLevel="0" max="16" min="16" style="1" width="11.43"/>
    <col collapsed="false" customWidth="true" hidden="false" outlineLevel="0" max="17" min="17" style="1" width="10.85"/>
    <col collapsed="false" customWidth="true" hidden="false" outlineLevel="0" max="18" min="18" style="1" width="12.28"/>
  </cols>
  <sheetData>
    <row r="2" customFormat="false" ht="15" hidden="false" customHeight="false" outlineLevel="0" collapsed="false">
      <c r="A2" s="2" t="n">
        <v>2012</v>
      </c>
    </row>
    <row r="3" customFormat="false" ht="15" hidden="false" customHeight="false" outlineLevel="0" collapsed="false">
      <c r="A3" s="2" t="s">
        <v>23</v>
      </c>
      <c r="D3" s="79" t="s">
        <v>2</v>
      </c>
      <c r="E3" s="79" t="s">
        <v>3</v>
      </c>
      <c r="F3" s="79" t="s">
        <v>4</v>
      </c>
      <c r="G3" s="79" t="s">
        <v>5</v>
      </c>
      <c r="H3" s="79" t="s">
        <v>6</v>
      </c>
      <c r="I3" s="79" t="s">
        <v>7</v>
      </c>
      <c r="J3" s="79" t="s">
        <v>8</v>
      </c>
      <c r="K3" s="79" t="s">
        <v>9</v>
      </c>
      <c r="L3" s="79" t="s">
        <v>10</v>
      </c>
      <c r="M3" s="79" t="s">
        <v>11</v>
      </c>
      <c r="N3" s="79" t="s">
        <v>12</v>
      </c>
      <c r="O3" s="79" t="s">
        <v>13</v>
      </c>
    </row>
    <row r="5" customFormat="false" ht="12.75" hidden="false" customHeight="false" outlineLevel="0" collapsed="false">
      <c r="A5" s="1" t="s">
        <v>27</v>
      </c>
      <c r="D5" s="54" t="n">
        <f aca="false">SUM('Ablesewerte Strom'!D5-'Ablesewerte Strom'!C5)</f>
        <v>4443</v>
      </c>
      <c r="E5" s="54" t="n">
        <f aca="false">SUM('Ablesewerte Strom'!E5-'Ablesewerte Strom'!D5)</f>
        <v>3674.79999999999</v>
      </c>
      <c r="F5" s="54" t="n">
        <f aca="false">SUM('Ablesewerte Strom'!F5-'Ablesewerte Strom'!E5)</f>
        <v>4030.70000000001</v>
      </c>
      <c r="G5" s="54" t="n">
        <f aca="false">SUM('Ablesewerte Strom'!G5-'Ablesewerte Strom'!F5)</f>
        <v>2651.60000000004</v>
      </c>
      <c r="H5" s="54" t="n">
        <f aca="false">SUM('Ablesewerte Strom'!H5-'Ablesewerte Strom'!G5)</f>
        <v>2721.39999999997</v>
      </c>
      <c r="I5" s="54" t="n">
        <f aca="false">SUM('Ablesewerte Strom'!I5-'Ablesewerte Strom'!H5)</f>
        <v>2075</v>
      </c>
      <c r="J5" s="54" t="n">
        <f aca="false">SUM('Ablesewerte Strom'!J5-'Ablesewerte Strom'!I5)</f>
        <v>1894.90000000002</v>
      </c>
      <c r="K5" s="54" t="n">
        <f aca="false">SUM('Ablesewerte Strom'!K5-'Ablesewerte Strom'!J5)</f>
        <v>1640.79999999999</v>
      </c>
      <c r="L5" s="54" t="n">
        <f aca="false">SUM('Ablesewerte Strom'!L5-'Ablesewerte Strom'!K5)</f>
        <v>2655.29999999999</v>
      </c>
      <c r="M5" s="54" t="n">
        <f aca="false">SUM('Ablesewerte Strom'!M5-'Ablesewerte Strom'!L5)</f>
        <v>3777.60000000004</v>
      </c>
      <c r="N5" s="54" t="n">
        <f aca="false">SUM('Ablesewerte Strom'!N5-'Ablesewerte Strom'!M5)</f>
        <v>3733.29999999999</v>
      </c>
      <c r="O5" s="54" t="n">
        <f aca="false">SUM('Ablesewerte Strom'!O5-'Ablesewerte Strom'!N5)</f>
        <v>3898.5</v>
      </c>
      <c r="Q5" s="54" t="n">
        <f aca="false">SUM(D5:O5)</f>
        <v>37196.9</v>
      </c>
    </row>
    <row r="6" customFormat="false" ht="12.75" hidden="false" customHeight="false" outlineLevel="0" collapsed="false">
      <c r="A6" s="1" t="s">
        <v>28</v>
      </c>
      <c r="D6" s="54" t="n">
        <f aca="false">SUM('Ablesewerte Strom'!D6-'Ablesewerte Strom'!C6)</f>
        <v>3227.20000000001</v>
      </c>
      <c r="E6" s="54" t="n">
        <f aca="false">SUM('Ablesewerte Strom'!E6-'Ablesewerte Strom'!D6)</f>
        <v>2561</v>
      </c>
      <c r="F6" s="54" t="n">
        <f aca="false">SUM('Ablesewerte Strom'!F6-'Ablesewerte Strom'!E6)</f>
        <v>2844.39999999999</v>
      </c>
      <c r="G6" s="54" t="n">
        <f aca="false">SUM('Ablesewerte Strom'!G6-'Ablesewerte Strom'!F6)</f>
        <v>1816.5</v>
      </c>
      <c r="H6" s="54" t="n">
        <f aca="false">SUM('Ablesewerte Strom'!H6-'Ablesewerte Strom'!G6)</f>
        <v>1702</v>
      </c>
      <c r="I6" s="54" t="n">
        <f aca="false">SUM('Ablesewerte Strom'!I6-'Ablesewerte Strom'!H6)</f>
        <v>1155.10000000001</v>
      </c>
      <c r="J6" s="54" t="n">
        <f aca="false">SUM('Ablesewerte Strom'!J6-'Ablesewerte Strom'!I6)</f>
        <v>1114.79999999999</v>
      </c>
      <c r="K6" s="54" t="n">
        <f aca="false">SUM('Ablesewerte Strom'!K6-'Ablesewerte Strom'!J6)</f>
        <v>1118.10000000001</v>
      </c>
      <c r="L6" s="54" t="n">
        <f aca="false">SUM('Ablesewerte Strom'!L6-'Ablesewerte Strom'!K6)</f>
        <v>1815.39999999999</v>
      </c>
      <c r="M6" s="54" t="n">
        <f aca="false">SUM('Ablesewerte Strom'!M6-'Ablesewerte Strom'!L6)</f>
        <v>2646.90000000002</v>
      </c>
      <c r="N6" s="54" t="n">
        <f aca="false">SUM('Ablesewerte Strom'!N6-'Ablesewerte Strom'!M6)</f>
        <v>2719.39999999999</v>
      </c>
      <c r="O6" s="54" t="n">
        <f aca="false">SUM('Ablesewerte Strom'!O6-'Ablesewerte Strom'!N6)</f>
        <v>2876.10000000001</v>
      </c>
      <c r="Q6" s="54" t="n">
        <f aca="false">SUM(D6:O6)</f>
        <v>25596.9</v>
      </c>
    </row>
    <row r="7" customFormat="false" ht="12.75" hidden="false" customHeight="false" outlineLevel="0" collapsed="false">
      <c r="A7" s="1" t="s">
        <v>29</v>
      </c>
      <c r="D7" s="54" t="n">
        <f aca="false">SUM('Ablesewerte Strom'!D7-'Ablesewerte Strom'!C7)</f>
        <v>80</v>
      </c>
      <c r="E7" s="54" t="n">
        <f aca="false">SUM('Ablesewerte Strom'!E7-'Ablesewerte Strom'!D7)</f>
        <v>64</v>
      </c>
      <c r="F7" s="54" t="n">
        <f aca="false">SUM('Ablesewerte Strom'!F7-'Ablesewerte Strom'!E7)</f>
        <v>57</v>
      </c>
      <c r="G7" s="54" t="n">
        <f aca="false">SUM('Ablesewerte Strom'!G7-'Ablesewerte Strom'!F7)</f>
        <v>23.5</v>
      </c>
      <c r="H7" s="54" t="n">
        <f aca="false">SUM('Ablesewerte Strom'!H7-'Ablesewerte Strom'!G7)</f>
        <v>32.5</v>
      </c>
      <c r="I7" s="54" t="n">
        <f aca="false">SUM('Ablesewerte Strom'!I7-'Ablesewerte Strom'!H7)</f>
        <v>99.9000000000015</v>
      </c>
      <c r="J7" s="54" t="n">
        <f aca="false">SUM('Ablesewerte Strom'!J7-'Ablesewerte Strom'!I7)</f>
        <v>2.79999999999563</v>
      </c>
      <c r="K7" s="54" t="n">
        <f aca="false">SUM('Ablesewerte Strom'!K7-'Ablesewerte Strom'!J7)</f>
        <v>0</v>
      </c>
      <c r="L7" s="54" t="n">
        <f aca="false">SUM('Ablesewerte Strom'!L7-'Ablesewerte Strom'!K7)</f>
        <v>58.5</v>
      </c>
      <c r="M7" s="54" t="n">
        <f aca="false">SUM('Ablesewerte Strom'!M7-'Ablesewerte Strom'!L7)</f>
        <v>61.6000000000058</v>
      </c>
      <c r="N7" s="54" t="n">
        <f aca="false">SUM('Ablesewerte Strom'!N7-'Ablesewerte Strom'!M7)</f>
        <v>42.3999999999942</v>
      </c>
      <c r="O7" s="54" t="n">
        <f aca="false">SUM('Ablesewerte Strom'!O7-'Ablesewerte Strom'!N7)</f>
        <v>26</v>
      </c>
      <c r="Q7" s="54" t="n">
        <f aca="false">SUM(D7:O7)</f>
        <v>548.199999999997</v>
      </c>
    </row>
    <row r="8" customFormat="false" ht="12.75" hidden="false" customHeight="false" outlineLevel="0" collapsed="false">
      <c r="A8" s="1" t="s">
        <v>30</v>
      </c>
      <c r="D8" s="54" t="n">
        <f aca="false">SUM('Ablesewerte Strom'!D8-'Ablesewerte Strom'!C8)</f>
        <v>158.800000000003</v>
      </c>
      <c r="E8" s="54" t="n">
        <f aca="false">SUM('Ablesewerte Strom'!E8-'Ablesewerte Strom'!D8)</f>
        <v>123.5</v>
      </c>
      <c r="F8" s="54" t="n">
        <f aca="false">SUM('Ablesewerte Strom'!F8-'Ablesewerte Strom'!E8)</f>
        <v>144.099999999999</v>
      </c>
      <c r="G8" s="54" t="n">
        <f aca="false">SUM('Ablesewerte Strom'!G8-'Ablesewerte Strom'!F8)</f>
        <v>120.700000000004</v>
      </c>
      <c r="H8" s="54" t="n">
        <f aca="false">SUM('Ablesewerte Strom'!H8-'Ablesewerte Strom'!G8)</f>
        <v>115.299999999996</v>
      </c>
      <c r="I8" s="54" t="n">
        <f aca="false">SUM('Ablesewerte Strom'!I8-'Ablesewerte Strom'!H8)</f>
        <v>115.200000000004</v>
      </c>
      <c r="J8" s="54" t="n">
        <f aca="false">SUM('Ablesewerte Strom'!J8-'Ablesewerte Strom'!I8)</f>
        <v>118.799999999996</v>
      </c>
      <c r="K8" s="54" t="n">
        <f aca="false">SUM('Ablesewerte Strom'!K8-'Ablesewerte Strom'!J8)</f>
        <v>133.200000000004</v>
      </c>
      <c r="L8" s="54" t="n">
        <f aca="false">SUM('Ablesewerte Strom'!L8-'Ablesewerte Strom'!K8)</f>
        <v>101.199999999997</v>
      </c>
      <c r="M8" s="54" t="n">
        <f aca="false">SUM('Ablesewerte Strom'!M8-'Ablesewerte Strom'!L8)</f>
        <v>144.199999999997</v>
      </c>
      <c r="N8" s="54" t="n">
        <f aca="false">SUM('Ablesewerte Strom'!N8-'Ablesewerte Strom'!M8)</f>
        <v>119.400000000001</v>
      </c>
      <c r="O8" s="54" t="n">
        <f aca="false">SUM('Ablesewerte Strom'!O8-'Ablesewerte Strom'!N8)</f>
        <v>148.5</v>
      </c>
      <c r="Q8" s="54" t="n">
        <f aca="false">SUM(D8:O8)</f>
        <v>1542.9</v>
      </c>
    </row>
    <row r="9" customFormat="false" ht="12.75" hidden="false" customHeight="false" outlineLevel="0" collapsed="false">
      <c r="A9" s="1" t="s">
        <v>31</v>
      </c>
      <c r="D9" s="80" t="s">
        <v>47</v>
      </c>
      <c r="E9" s="80" t="s">
        <v>47</v>
      </c>
      <c r="F9" s="80" t="s">
        <v>47</v>
      </c>
      <c r="G9" s="80" t="s">
        <v>47</v>
      </c>
      <c r="H9" s="80" t="s">
        <v>47</v>
      </c>
      <c r="I9" s="80" t="s">
        <v>47</v>
      </c>
      <c r="J9" s="80" t="s">
        <v>47</v>
      </c>
      <c r="K9" s="80" t="s">
        <v>47</v>
      </c>
      <c r="L9" s="80" t="s">
        <v>47</v>
      </c>
      <c r="M9" s="80" t="s">
        <v>47</v>
      </c>
      <c r="N9" s="80" t="s">
        <v>47</v>
      </c>
      <c r="O9" s="80" t="s">
        <v>47</v>
      </c>
    </row>
    <row r="10" customFormat="false" ht="12.75" hidden="false" customHeight="false" outlineLevel="0" collapsed="false">
      <c r="D10" s="80" t="s">
        <v>47</v>
      </c>
      <c r="E10" s="80" t="s">
        <v>47</v>
      </c>
      <c r="F10" s="80" t="s">
        <v>47</v>
      </c>
      <c r="G10" s="80" t="s">
        <v>47</v>
      </c>
      <c r="H10" s="80" t="s">
        <v>47</v>
      </c>
      <c r="I10" s="80" t="s">
        <v>47</v>
      </c>
      <c r="J10" s="80" t="s">
        <v>47</v>
      </c>
      <c r="K10" s="80" t="s">
        <v>47</v>
      </c>
      <c r="L10" s="80" t="s">
        <v>47</v>
      </c>
      <c r="M10" s="80" t="s">
        <v>47</v>
      </c>
      <c r="N10" s="80" t="s">
        <v>47</v>
      </c>
      <c r="O10" s="80" t="s">
        <v>47</v>
      </c>
      <c r="Q10" s="54" t="n">
        <f aca="false">SUM(D9:O10)</f>
        <v>0</v>
      </c>
    </row>
    <row r="11" customFormat="false" ht="12.75" hidden="false" customHeight="false" outlineLevel="0" collapsed="false">
      <c r="A11" s="1" t="s">
        <v>48</v>
      </c>
      <c r="D11" s="54" t="n">
        <f aca="false">SUM('Ablesewerte Strom'!D10-'Ablesewerte Strom'!C10)</f>
        <v>69.2699999999995</v>
      </c>
      <c r="E11" s="54" t="n">
        <f aca="false">SUM('Ablesewerte Strom'!E10-'Ablesewerte Strom'!D10)</f>
        <v>64.3800000000001</v>
      </c>
      <c r="F11" s="54" t="n">
        <f aca="false">SUM('Ablesewerte Strom'!F10-'Ablesewerte Strom'!E10)</f>
        <v>80.7399999999998</v>
      </c>
      <c r="G11" s="54" t="n">
        <f aca="false">SUM('Ablesewerte Strom'!G10-'Ablesewerte Strom'!F10)</f>
        <v>51.6100000000006</v>
      </c>
      <c r="H11" s="54" t="n">
        <f aca="false">SUM('Ablesewerte Strom'!H10-'Ablesewerte Strom'!G10)</f>
        <v>75.3800000000001</v>
      </c>
      <c r="I11" s="54" t="n">
        <f aca="false">SUM('Ablesewerte Strom'!I10-'Ablesewerte Strom'!H10)</f>
        <v>65.8800000000001</v>
      </c>
      <c r="J11" s="54" t="n">
        <f aca="false">SUM('Ablesewerte Strom'!J10-'Ablesewerte Strom'!I10)</f>
        <v>60.1799999999994</v>
      </c>
      <c r="K11" s="54" t="n">
        <f aca="false">SUM('Ablesewerte Strom'!K10-'Ablesewerte Strom'!J10)</f>
        <v>64.1999999999998</v>
      </c>
      <c r="L11" s="54" t="n">
        <f aca="false">SUM('Ablesewerte Strom'!L10-'Ablesewerte Strom'!K10)</f>
        <v>57.6500000000005</v>
      </c>
      <c r="M11" s="54" t="n">
        <f aca="false">SUM('Ablesewerte Strom'!M10-'Ablesewerte Strom'!L10)</f>
        <v>78.2699999999995</v>
      </c>
      <c r="N11" s="54" t="n">
        <f aca="false">SUM('Ablesewerte Strom'!N10-'Ablesewerte Strom'!M10)</f>
        <v>69.1500000000006</v>
      </c>
      <c r="O11" s="54" t="n">
        <f aca="false">SUM('Ablesewerte Strom'!O10-'Ablesewerte Strom'!N10)</f>
        <v>60.9499999999998</v>
      </c>
      <c r="P11" s="54" t="n">
        <f aca="false">SUM(D11:O11)</f>
        <v>797.66</v>
      </c>
      <c r="T11" s="54" t="n">
        <f aca="false">SUM('Ablesewerte Strom'!T11-'Ablesewerte Strom'!S11)</f>
        <v>0</v>
      </c>
    </row>
    <row r="12" customFormat="false" ht="12.75" hidden="false" customHeight="false" outlineLevel="0" collapsed="false">
      <c r="A12" s="1" t="s">
        <v>49</v>
      </c>
      <c r="D12" s="54" t="n">
        <f aca="false">SUM('Ablesewerte Strom'!D11-'Ablesewerte Strom'!C11)</f>
        <v>27.6900000000001</v>
      </c>
      <c r="E12" s="54" t="n">
        <f aca="false">SUM('Ablesewerte Strom'!E11-'Ablesewerte Strom'!D11)</f>
        <v>25.3099999999999</v>
      </c>
      <c r="F12" s="54" t="n">
        <f aca="false">SUM('Ablesewerte Strom'!F11-'Ablesewerte Strom'!E11)</f>
        <v>29.3199999999997</v>
      </c>
      <c r="G12" s="54" t="n">
        <f aca="false">SUM('Ablesewerte Strom'!G11-'Ablesewerte Strom'!F11)</f>
        <v>18.1100000000001</v>
      </c>
      <c r="H12" s="54" t="n">
        <f aca="false">SUM('Ablesewerte Strom'!H11-'Ablesewerte Strom'!G11)</f>
        <v>25.0999999999999</v>
      </c>
      <c r="I12" s="54" t="n">
        <f aca="false">SUM('Ablesewerte Strom'!I11-'Ablesewerte Strom'!H11)</f>
        <v>22.7200000000003</v>
      </c>
      <c r="J12" s="54" t="n">
        <f aca="false">SUM('Ablesewerte Strom'!J11-'Ablesewerte Strom'!I11)</f>
        <v>20.5299999999997</v>
      </c>
      <c r="K12" s="54" t="n">
        <f aca="false">SUM('Ablesewerte Strom'!K11-'Ablesewerte Strom'!J11)</f>
        <v>16.1300000000001</v>
      </c>
      <c r="L12" s="54" t="n">
        <f aca="false">SUM('Ablesewerte Strom'!L11-'Ablesewerte Strom'!K11)</f>
        <v>22.8000000000002</v>
      </c>
      <c r="M12" s="54" t="n">
        <f aca="false">SUM('Ablesewerte Strom'!M11-'Ablesewerte Strom'!L11)</f>
        <v>34.25</v>
      </c>
      <c r="N12" s="54" t="n">
        <f aca="false">SUM('Ablesewerte Strom'!N11-'Ablesewerte Strom'!M11)</f>
        <v>34.6599999999999</v>
      </c>
      <c r="O12" s="54" t="n">
        <f aca="false">SUM('Ablesewerte Strom'!O11-'Ablesewerte Strom'!N11)</f>
        <v>29.8600000000001</v>
      </c>
      <c r="P12" s="54" t="n">
        <f aca="false">SUM(D12:O12)</f>
        <v>306.48</v>
      </c>
    </row>
    <row r="13" customFormat="false" ht="12.75" hidden="false" customHeight="false" outlineLevel="0" collapsed="false">
      <c r="A13" s="1" t="s">
        <v>50</v>
      </c>
      <c r="D13" s="54" t="n">
        <f aca="false">SUM('Ablesewerte Strom'!D12-'Ablesewerte Strom'!C12)</f>
        <v>1111.89999999999</v>
      </c>
      <c r="E13" s="54" t="n">
        <f aca="false">SUM('Ablesewerte Strom'!E12-'Ablesewerte Strom'!D12)</f>
        <v>932.900000000009</v>
      </c>
      <c r="F13" s="54" t="n">
        <f aca="false">SUM('Ablesewerte Strom'!F12-'Ablesewerte Strom'!E12)</f>
        <v>1012.29999999999</v>
      </c>
      <c r="G13" s="54" t="n">
        <f aca="false">SUM('Ablesewerte Strom'!G12-'Ablesewerte Strom'!F12)</f>
        <v>627.800000000003</v>
      </c>
      <c r="H13" s="54" t="n">
        <f aca="false">SUM('Ablesewerte Strom'!H12-'Ablesewerte Strom'!G12)</f>
        <v>708.5</v>
      </c>
      <c r="I13" s="54" t="n">
        <f aca="false">SUM('Ablesewerte Strom'!I12-'Ablesewerte Strom'!H12)</f>
        <v>753.699999999997</v>
      </c>
      <c r="J13" s="54" t="n">
        <f aca="false">SUM('Ablesewerte Strom'!J12-'Ablesewerte Strom'!I12)</f>
        <v>519.800000000003</v>
      </c>
      <c r="K13" s="54" t="n">
        <f aca="false">SUM('Ablesewerte Strom'!K12-'Ablesewerte Strom'!J12)</f>
        <v>566.600000000006</v>
      </c>
      <c r="L13" s="54" t="n">
        <f aca="false">SUM('Ablesewerte Strom'!L12-'Ablesewerte Strom'!K12)</f>
        <v>665.800000000003</v>
      </c>
      <c r="M13" s="54" t="n">
        <f aca="false">SUM('Ablesewerte Strom'!M12-'Ablesewerte Strom'!L12)</f>
        <v>1015.09999999999</v>
      </c>
      <c r="N13" s="54" t="n">
        <f aca="false">SUM('Ablesewerte Strom'!N12-'Ablesewerte Strom'!M12)</f>
        <v>1157.5</v>
      </c>
      <c r="O13" s="54" t="n">
        <f aca="false">SUM('Ablesewerte Strom'!O12-'Ablesewerte Strom'!N12)</f>
        <v>1014</v>
      </c>
      <c r="P13" s="54" t="n">
        <f aca="false">SUM(D13:O13)</f>
        <v>10085.9</v>
      </c>
    </row>
    <row r="14" customFormat="false" ht="12.75" hidden="false" customHeight="false" outlineLevel="0" collapsed="false">
      <c r="A14" s="1" t="s">
        <v>51</v>
      </c>
      <c r="D14" s="54" t="n">
        <f aca="false">SUM('Ablesewerte Strom'!D13-'Ablesewerte Strom'!C13)</f>
        <v>251.9</v>
      </c>
      <c r="E14" s="54" t="n">
        <f aca="false">SUM('Ablesewerte Strom'!E13-'Ablesewerte Strom'!D13)</f>
        <v>1002.9</v>
      </c>
      <c r="F14" s="54" t="n">
        <f aca="false">SUM('Ablesewerte Strom'!F13-'Ablesewerte Strom'!E13)</f>
        <v>235.3</v>
      </c>
      <c r="G14" s="54" t="n">
        <f aca="false">SUM('Ablesewerte Strom'!G13-'Ablesewerte Strom'!F13)</f>
        <v>59.8000000000002</v>
      </c>
      <c r="H14" s="54" t="n">
        <f aca="false">SUM('Ablesewerte Strom'!H13-'Ablesewerte Strom'!G13)</f>
        <v>0</v>
      </c>
      <c r="I14" s="54" t="n">
        <f aca="false">SUM('Ablesewerte Strom'!I13-'Ablesewerte Strom'!H13)</f>
        <v>0</v>
      </c>
      <c r="J14" s="54" t="n">
        <f aca="false">SUM('Ablesewerte Strom'!J13-'Ablesewerte Strom'!I13)</f>
        <v>0</v>
      </c>
      <c r="K14" s="54" t="n">
        <f aca="false">SUM('Ablesewerte Strom'!K13-'Ablesewerte Strom'!J13)</f>
        <v>0</v>
      </c>
      <c r="L14" s="54" t="n">
        <f aca="false">SUM('Ablesewerte Strom'!L13-'Ablesewerte Strom'!K13)</f>
        <v>0</v>
      </c>
      <c r="M14" s="54" t="n">
        <f aca="false">SUM('Ablesewerte Strom'!M13-'Ablesewerte Strom'!L13)</f>
        <v>0</v>
      </c>
      <c r="N14" s="54" t="n">
        <f aca="false">SUM('Ablesewerte Strom'!N13-'Ablesewerte Strom'!M13)</f>
        <v>0</v>
      </c>
      <c r="O14" s="54" t="n">
        <f aca="false">SUM('Ablesewerte Strom'!O13-'Ablesewerte Strom'!N13)</f>
        <v>0</v>
      </c>
      <c r="P14" s="54" t="n">
        <f aca="false">SUM(D14:O14)</f>
        <v>1549.9</v>
      </c>
    </row>
    <row r="15" customFormat="false" ht="12.75" hidden="false" customHeight="false" outlineLevel="0" collapsed="false">
      <c r="A15" s="1" t="s">
        <v>52</v>
      </c>
      <c r="D15" s="54" t="n">
        <f aca="false">SUM('Ablesewerte Strom'!D14-'Ablesewerte Strom'!C14)</f>
        <v>35.5</v>
      </c>
      <c r="E15" s="54" t="n">
        <f aca="false">SUM('Ablesewerte Strom'!E14-'Ablesewerte Strom'!D14)</f>
        <v>96.8000000000002</v>
      </c>
      <c r="F15" s="54" t="n">
        <f aca="false">SUM('Ablesewerte Strom'!F14-'Ablesewerte Strom'!E14)</f>
        <v>99.6999999999998</v>
      </c>
      <c r="G15" s="54" t="n">
        <f aca="false">SUM('Ablesewerte Strom'!G14-'Ablesewerte Strom'!F14)</f>
        <v>58.5</v>
      </c>
      <c r="H15" s="54" t="n">
        <f aca="false">SUM('Ablesewerte Strom'!H14-'Ablesewerte Strom'!G14)</f>
        <v>14.6999999999998</v>
      </c>
      <c r="I15" s="54" t="n">
        <f aca="false">SUM('Ablesewerte Strom'!I14-'Ablesewerte Strom'!H14)</f>
        <v>0.699999999999818</v>
      </c>
      <c r="J15" s="54" t="n">
        <f aca="false">SUM('Ablesewerte Strom'!J14-'Ablesewerte Strom'!I14)</f>
        <v>0.300000000000182</v>
      </c>
      <c r="K15" s="54" t="n">
        <f aca="false">SUM('Ablesewerte Strom'!K14-'Ablesewerte Strom'!J14)</f>
        <v>0.399999999999636</v>
      </c>
      <c r="L15" s="54" t="n">
        <f aca="false">SUM('Ablesewerte Strom'!L14-'Ablesewerte Strom'!K14)</f>
        <v>0.600000000000364</v>
      </c>
      <c r="M15" s="54" t="n">
        <f aca="false">SUM('Ablesewerte Strom'!M14-'Ablesewerte Strom'!L14)</f>
        <v>1.10000000000036</v>
      </c>
      <c r="N15" s="54" t="n">
        <f aca="false">SUM('Ablesewerte Strom'!N14-'Ablesewerte Strom'!M14)</f>
        <v>0.699999999999818</v>
      </c>
      <c r="O15" s="54" t="n">
        <f aca="false">SUM('Ablesewerte Strom'!O14-'Ablesewerte Strom'!N14)</f>
        <v>0.800000000000182</v>
      </c>
      <c r="P15" s="54" t="n">
        <f aca="false">SUM(D15:O15)</f>
        <v>309.8</v>
      </c>
    </row>
    <row r="16" customFormat="false" ht="12.75" hidden="false" customHeight="false" outlineLevel="0" collapsed="false">
      <c r="A16" s="1" t="s">
        <v>39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customFormat="false" ht="12.75" hidden="false" customHeight="false" outlineLevel="0" collapsed="false"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Q17" s="54" t="n">
        <f aca="false">SUM(D16:O17)</f>
        <v>0</v>
      </c>
    </row>
    <row r="18" customFormat="false" ht="12.75" hidden="false" customHeight="false" outlineLevel="0" collapsed="false">
      <c r="A18" s="1" t="s">
        <v>53</v>
      </c>
      <c r="D18" s="54" t="n">
        <f aca="false">SUM('Ablesewerte Strom'!D16-'Ablesewerte Strom'!C16)</f>
        <v>1211.8</v>
      </c>
      <c r="E18" s="54" t="n">
        <f aca="false">SUM('Ablesewerte Strom'!E16-'Ablesewerte Strom'!D16)</f>
        <v>1098.8</v>
      </c>
      <c r="F18" s="54" t="n">
        <f aca="false">SUM('Ablesewerte Strom'!F16-'Ablesewerte Strom'!E16)</f>
        <v>1132.59999999999</v>
      </c>
      <c r="G18" s="54" t="n">
        <f aca="false">SUM('Ablesewerte Strom'!G16-'Ablesewerte Strom'!F16)</f>
        <v>1000.5</v>
      </c>
      <c r="H18" s="54" t="n">
        <f aca="false">SUM('Ablesewerte Strom'!H16-'Ablesewerte Strom'!G16)</f>
        <v>927.900000000009</v>
      </c>
      <c r="I18" s="54" t="n">
        <f aca="false">SUM('Ablesewerte Strom'!I16-'Ablesewerte Strom'!H16)</f>
        <v>923.800000000003</v>
      </c>
      <c r="J18" s="54" t="n">
        <f aca="false">SUM('Ablesewerte Strom'!J16-'Ablesewerte Strom'!I16)</f>
        <v>738.599999999991</v>
      </c>
      <c r="K18" s="54" t="n">
        <f aca="false">SUM('Ablesewerte Strom'!K16-'Ablesewerte Strom'!J16)</f>
        <v>342.100000000006</v>
      </c>
      <c r="L18" s="54" t="n">
        <f aca="false">SUM('Ablesewerte Strom'!L16-'Ablesewerte Strom'!K16)</f>
        <v>821.800000000003</v>
      </c>
      <c r="M18" s="54" t="n">
        <f aca="false">SUM('Ablesewerte Strom'!M16-'Ablesewerte Strom'!L16)</f>
        <v>1170.79999999999</v>
      </c>
      <c r="N18" s="54" t="n">
        <f aca="false">SUM('Ablesewerte Strom'!N16-'Ablesewerte Strom'!M16)</f>
        <v>1027.70000000001</v>
      </c>
      <c r="O18" s="54" t="n">
        <f aca="false">SUM('Ablesewerte Strom'!O16-'Ablesewerte Strom'!N16)</f>
        <v>1416</v>
      </c>
      <c r="P18" s="54" t="n">
        <f aca="false">SUM(D18:O18)</f>
        <v>11812.4</v>
      </c>
      <c r="Q18" s="1" t="s">
        <v>54</v>
      </c>
      <c r="R18" s="81" t="n">
        <f aca="false">SUM(Q5:Q17)</f>
        <v>64884.9</v>
      </c>
    </row>
    <row r="21" customFormat="false" ht="15" hidden="false" customHeight="false" outlineLevel="0" collapsed="false">
      <c r="A21" s="2" t="n">
        <v>2013</v>
      </c>
    </row>
    <row r="22" customFormat="false" ht="15" hidden="false" customHeight="false" outlineLevel="0" collapsed="false">
      <c r="A22" s="2" t="s">
        <v>23</v>
      </c>
      <c r="D22" s="79" t="s">
        <v>2</v>
      </c>
      <c r="E22" s="79" t="s">
        <v>3</v>
      </c>
      <c r="F22" s="79" t="s">
        <v>4</v>
      </c>
      <c r="G22" s="79" t="s">
        <v>5</v>
      </c>
      <c r="H22" s="79" t="s">
        <v>6</v>
      </c>
      <c r="I22" s="79" t="s">
        <v>7</v>
      </c>
      <c r="J22" s="79" t="s">
        <v>8</v>
      </c>
      <c r="K22" s="79" t="s">
        <v>9</v>
      </c>
      <c r="L22" s="79" t="s">
        <v>10</v>
      </c>
      <c r="M22" s="79" t="s">
        <v>11</v>
      </c>
      <c r="N22" s="79" t="s">
        <v>12</v>
      </c>
      <c r="O22" s="79" t="s">
        <v>13</v>
      </c>
    </row>
    <row r="24" customFormat="false" ht="12.75" hidden="false" customHeight="false" outlineLevel="0" collapsed="false">
      <c r="A24" s="1" t="s">
        <v>27</v>
      </c>
      <c r="D24" s="54" t="n">
        <f aca="false">SUM('Ablesewerte Strom'!D24-'Ablesewerte Strom'!C24)</f>
        <v>3362</v>
      </c>
      <c r="E24" s="54" t="n">
        <f aca="false">SUM('Ablesewerte Strom'!E24-'Ablesewerte Strom'!D24)</f>
        <v>3291.20000000001</v>
      </c>
      <c r="F24" s="54" t="n">
        <f aca="false">SUM('Ablesewerte Strom'!F24-'Ablesewerte Strom'!E24)</f>
        <v>3458.29999999999</v>
      </c>
      <c r="G24" s="54" t="n">
        <f aca="false">SUM('Ablesewerte Strom'!G24-'Ablesewerte Strom'!F24)</f>
        <v>3064.89999999997</v>
      </c>
      <c r="H24" s="54" t="n">
        <f aca="false">SUM('Ablesewerte Strom'!H24-'Ablesewerte Strom'!G24)</f>
        <v>2720.80000000005</v>
      </c>
      <c r="I24" s="54" t="n">
        <f aca="false">SUM('Ablesewerte Strom'!I24-'Ablesewerte Strom'!H24)</f>
        <v>1973.89999999997</v>
      </c>
      <c r="J24" s="54" t="n">
        <f aca="false">SUM('Ablesewerte Strom'!J24-'Ablesewerte Strom'!I24)</f>
        <v>1500.40000000002</v>
      </c>
      <c r="K24" s="54" t="n">
        <f aca="false">SUM('Ablesewerte Strom'!K24-'Ablesewerte Strom'!J24)</f>
        <v>1150</v>
      </c>
      <c r="L24" s="54" t="n">
        <f aca="false">SUM('Ablesewerte Strom'!L24-'Ablesewerte Strom'!K24)</f>
        <v>2137.79999999999</v>
      </c>
      <c r="M24" s="54" t="n">
        <f aca="false">SUM('Ablesewerte Strom'!M24-'Ablesewerte Strom'!L24)</f>
        <v>2981.79999999999</v>
      </c>
      <c r="N24" s="54" t="n">
        <f aca="false">SUM('Ablesewerte Strom'!N24-'Ablesewerte Strom'!M24)</f>
        <v>3625.29999999999</v>
      </c>
      <c r="O24" s="54" t="n">
        <f aca="false">SUM('Ablesewerte Strom'!O24-'Ablesewerte Strom'!N24)</f>
        <v>3969.60000000004</v>
      </c>
      <c r="Q24" s="54" t="n">
        <f aca="false">SUM(D24:O24)</f>
        <v>33236</v>
      </c>
    </row>
    <row r="25" customFormat="false" ht="12.75" hidden="false" customHeight="false" outlineLevel="0" collapsed="false">
      <c r="A25" s="1" t="s">
        <v>28</v>
      </c>
      <c r="D25" s="54" t="n">
        <f aca="false">SUM('Ablesewerte Strom'!D25-'Ablesewerte Strom'!C25)</f>
        <v>2460.09999999998</v>
      </c>
      <c r="E25" s="54" t="n">
        <f aca="false">SUM('Ablesewerte Strom'!E25-'Ablesewerte Strom'!D25)</f>
        <v>2404.10000000001</v>
      </c>
      <c r="F25" s="54" t="n">
        <f aca="false">SUM('Ablesewerte Strom'!F25-'Ablesewerte Strom'!E25)</f>
        <v>2541.30000000002</v>
      </c>
      <c r="G25" s="54" t="n">
        <f aca="false">SUM('Ablesewerte Strom'!G25-'Ablesewerte Strom'!F25)</f>
        <v>2096.69999999998</v>
      </c>
      <c r="H25" s="54" t="n">
        <f aca="false">SUM('Ablesewerte Strom'!H25-'Ablesewerte Strom'!G25)</f>
        <v>1987.30000000002</v>
      </c>
      <c r="I25" s="54" t="n">
        <f aca="false">SUM('Ablesewerte Strom'!I25-'Ablesewerte Strom'!H25)</f>
        <v>1228.19999999998</v>
      </c>
      <c r="J25" s="54" t="n">
        <f aca="false">SUM('Ablesewerte Strom'!J25-'Ablesewerte Strom'!I25)</f>
        <v>870.600000000006</v>
      </c>
      <c r="K25" s="54" t="n">
        <f aca="false">SUM('Ablesewerte Strom'!K25-'Ablesewerte Strom'!J25)</f>
        <v>724.399999999994</v>
      </c>
      <c r="L25" s="54" t="n">
        <f aca="false">SUM('Ablesewerte Strom'!L25-'Ablesewerte Strom'!K25)</f>
        <v>1395.70000000001</v>
      </c>
      <c r="M25" s="54" t="n">
        <f aca="false">SUM('Ablesewerte Strom'!M25-'Ablesewerte Strom'!L25)</f>
        <v>2116.19999999998</v>
      </c>
      <c r="N25" s="54" t="n">
        <f aca="false">SUM('Ablesewerte Strom'!N25-'Ablesewerte Strom'!M25)</f>
        <v>2756.20000000001</v>
      </c>
      <c r="O25" s="54" t="n">
        <f aca="false">SUM('Ablesewerte Strom'!O25-'Ablesewerte Strom'!N25)</f>
        <v>2994.10000000001</v>
      </c>
      <c r="Q25" s="54" t="n">
        <f aca="false">SUM(D25:O25)</f>
        <v>23574.9</v>
      </c>
    </row>
    <row r="26" customFormat="false" ht="12.75" hidden="false" customHeight="false" outlineLevel="0" collapsed="false">
      <c r="A26" s="1" t="s">
        <v>29</v>
      </c>
      <c r="D26" s="54" t="n">
        <f aca="false">SUM('Ablesewerte Strom'!D26-'Ablesewerte Strom'!C26)</f>
        <v>28.1000000000058</v>
      </c>
      <c r="E26" s="54" t="n">
        <f aca="false">SUM('Ablesewerte Strom'!E26-'Ablesewerte Strom'!D26)</f>
        <v>30.5999999999985</v>
      </c>
      <c r="F26" s="54" t="n">
        <f aca="false">SUM('Ablesewerte Strom'!F26-'Ablesewerte Strom'!E26)</f>
        <v>16.7999999999956</v>
      </c>
      <c r="G26" s="54" t="n">
        <f aca="false">SUM('Ablesewerte Strom'!G26-'Ablesewerte Strom'!F26)</f>
        <v>36.6000000000058</v>
      </c>
      <c r="H26" s="54" t="n">
        <f aca="false">SUM('Ablesewerte Strom'!H26-'Ablesewerte Strom'!G26)</f>
        <v>23.1999999999971</v>
      </c>
      <c r="I26" s="54" t="n">
        <f aca="false">SUM('Ablesewerte Strom'!I26-'Ablesewerte Strom'!H26)</f>
        <v>8.90000000000146</v>
      </c>
      <c r="J26" s="54" t="n">
        <f aca="false">SUM('Ablesewerte Strom'!J26-'Ablesewerte Strom'!I26)</f>
        <v>8.90000000000146</v>
      </c>
      <c r="K26" s="54" t="n">
        <f aca="false">SUM('Ablesewerte Strom'!K26-'Ablesewerte Strom'!J26)</f>
        <v>0</v>
      </c>
      <c r="L26" s="54" t="n">
        <f aca="false">SUM('Ablesewerte Strom'!L26-'Ablesewerte Strom'!K26)</f>
        <v>65.3999999999942</v>
      </c>
      <c r="M26" s="54" t="n">
        <f aca="false">SUM('Ablesewerte Strom'!M26-'Ablesewerte Strom'!L26)</f>
        <v>53.2000000000044</v>
      </c>
      <c r="N26" s="54" t="n">
        <f aca="false">SUM('Ablesewerte Strom'!N26-'Ablesewerte Strom'!M26)</f>
        <v>96.2999999999956</v>
      </c>
      <c r="O26" s="54" t="n">
        <f aca="false">SUM('Ablesewerte Strom'!O26-'Ablesewerte Strom'!N26)</f>
        <v>51.6000000000058</v>
      </c>
      <c r="Q26" s="54" t="n">
        <f aca="false">SUM(D26:O26)</f>
        <v>419.600000000006</v>
      </c>
    </row>
    <row r="27" customFormat="false" ht="12.75" hidden="false" customHeight="false" outlineLevel="0" collapsed="false">
      <c r="A27" s="1" t="s">
        <v>30</v>
      </c>
      <c r="D27" s="54" t="n">
        <f aca="false">SUM('Ablesewerte Strom'!D27-'Ablesewerte Strom'!C27)</f>
        <v>111.300000000003</v>
      </c>
      <c r="E27" s="54" t="n">
        <f aca="false">SUM('Ablesewerte Strom'!E27-'Ablesewerte Strom'!D27)</f>
        <v>121.699999999997</v>
      </c>
      <c r="F27" s="54" t="n">
        <f aca="false">SUM('Ablesewerte Strom'!F27-'Ablesewerte Strom'!E27)</f>
        <v>135.800000000003</v>
      </c>
      <c r="G27" s="54" t="n">
        <f aca="false">SUM('Ablesewerte Strom'!G27-'Ablesewerte Strom'!F27)</f>
        <v>136.5</v>
      </c>
      <c r="H27" s="54" t="n">
        <f aca="false">SUM('Ablesewerte Strom'!H27-'Ablesewerte Strom'!G27)</f>
        <v>138.400000000001</v>
      </c>
      <c r="I27" s="54" t="n">
        <f aca="false">SUM('Ablesewerte Strom'!I27-'Ablesewerte Strom'!H27)</f>
        <v>99.5999999999985</v>
      </c>
      <c r="J27" s="54" t="n">
        <f aca="false">SUM('Ablesewerte Strom'!J27-'Ablesewerte Strom'!I27)</f>
        <v>110.199999999997</v>
      </c>
      <c r="K27" s="54" t="n">
        <f aca="false">SUM('Ablesewerte Strom'!K27-'Ablesewerte Strom'!J27)</f>
        <v>113.400000000001</v>
      </c>
      <c r="L27" s="54" t="n">
        <f aca="false">SUM('Ablesewerte Strom'!L27-'Ablesewerte Strom'!K27)</f>
        <v>108.599999999999</v>
      </c>
      <c r="M27" s="54" t="n">
        <f aca="false">SUM('Ablesewerte Strom'!M27-'Ablesewerte Strom'!L27)</f>
        <v>139.599999999999</v>
      </c>
      <c r="N27" s="54" t="n">
        <f aca="false">SUM('Ablesewerte Strom'!N27-'Ablesewerte Strom'!M27)</f>
        <v>121</v>
      </c>
      <c r="O27" s="54" t="n">
        <f aca="false">SUM('Ablesewerte Strom'!O27-'Ablesewerte Strom'!N27)</f>
        <v>153.400000000001</v>
      </c>
      <c r="Q27" s="54" t="n">
        <f aca="false">SUM(D27:O27)</f>
        <v>1489.5</v>
      </c>
    </row>
    <row r="28" customFormat="false" ht="12.75" hidden="false" customHeight="false" outlineLevel="0" collapsed="false">
      <c r="A28" s="1" t="s">
        <v>31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</row>
    <row r="29" customFormat="false" ht="12.75" hidden="false" customHeight="false" outlineLevel="0" collapsed="false"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Q29" s="54" t="n">
        <f aca="false">SUM(D28:O29)</f>
        <v>0</v>
      </c>
    </row>
    <row r="30" customFormat="false" ht="12.75" hidden="false" customHeight="false" outlineLevel="0" collapsed="false">
      <c r="A30" s="1" t="s">
        <v>48</v>
      </c>
      <c r="D30" s="54" t="n">
        <f aca="false">SUM('Ablesewerte Strom'!D29-'Ablesewerte Strom'!C29)</f>
        <v>61.1899999999996</v>
      </c>
      <c r="E30" s="54" t="n">
        <f aca="false">SUM('Ablesewerte Strom'!E29-'Ablesewerte Strom'!D29)</f>
        <v>56.9700000000003</v>
      </c>
      <c r="F30" s="54" t="n">
        <f aca="false">SUM('Ablesewerte Strom'!F29-'Ablesewerte Strom'!E29)</f>
        <v>63.8000000000002</v>
      </c>
      <c r="G30" s="54" t="n">
        <f aca="false">SUM('Ablesewerte Strom'!G29-'Ablesewerte Strom'!F29)</f>
        <v>70.8800000000001</v>
      </c>
      <c r="H30" s="54" t="n">
        <f aca="false">SUM('Ablesewerte Strom'!H29-'Ablesewerte Strom'!G29)</f>
        <v>48.5999999999995</v>
      </c>
      <c r="I30" s="54" t="n">
        <f aca="false">SUM('Ablesewerte Strom'!I29-'Ablesewerte Strom'!H29)</f>
        <v>71.9200000000001</v>
      </c>
      <c r="J30" s="54" t="n">
        <f aca="false">SUM('Ablesewerte Strom'!J29-'Ablesewerte Strom'!I29)</f>
        <v>73.4800000000005</v>
      </c>
      <c r="K30" s="54" t="n">
        <f aca="false">SUM('Ablesewerte Strom'!K29-'Ablesewerte Strom'!J29)</f>
        <v>43.4799999999996</v>
      </c>
      <c r="L30" s="54" t="n">
        <f aca="false">SUM('Ablesewerte Strom'!L29-'Ablesewerte Strom'!K29)</f>
        <v>62.5600000000004</v>
      </c>
      <c r="M30" s="54" t="n">
        <f aca="false">SUM('Ablesewerte Strom'!M29-'Ablesewerte Strom'!L29)</f>
        <v>69.79</v>
      </c>
      <c r="N30" s="54" t="n">
        <f aca="false">SUM('Ablesewerte Strom'!N29-'Ablesewerte Strom'!M29)</f>
        <v>74.7699999999995</v>
      </c>
      <c r="O30" s="54" t="n">
        <f aca="false">SUM('Ablesewerte Strom'!O29-'Ablesewerte Strom'!N29)</f>
        <v>67.3500000000004</v>
      </c>
      <c r="P30" s="54" t="n">
        <f aca="false">SUM(D30:O30)</f>
        <v>764.79</v>
      </c>
    </row>
    <row r="31" customFormat="false" ht="12.75" hidden="false" customHeight="false" outlineLevel="0" collapsed="false">
      <c r="A31" s="1" t="s">
        <v>49</v>
      </c>
      <c r="D31" s="54" t="n">
        <f aca="false">SUM('Ablesewerte Strom'!D30-'Ablesewerte Strom'!C30)</f>
        <v>29.0999999999999</v>
      </c>
      <c r="E31" s="54" t="n">
        <f aca="false">SUM('Ablesewerte Strom'!E30-'Ablesewerte Strom'!D30)</f>
        <v>28.0700000000002</v>
      </c>
      <c r="F31" s="54" t="n">
        <f aca="false">SUM('Ablesewerte Strom'!F30-'Ablesewerte Strom'!E30)</f>
        <v>28.7999999999997</v>
      </c>
      <c r="G31" s="54" t="n">
        <f aca="false">SUM('Ablesewerte Strom'!G30-'Ablesewerte Strom'!F30)</f>
        <v>27.8400000000001</v>
      </c>
      <c r="H31" s="54" t="n">
        <f aca="false">SUM('Ablesewerte Strom'!H30-'Ablesewerte Strom'!G30)</f>
        <v>20.3499999999999</v>
      </c>
      <c r="I31" s="54" t="n">
        <f aca="false">SUM('Ablesewerte Strom'!I30-'Ablesewerte Strom'!H30)</f>
        <v>26.3099999999999</v>
      </c>
      <c r="J31" s="54" t="n">
        <f aca="false">SUM('Ablesewerte Strom'!J30-'Ablesewerte Strom'!I30)</f>
        <v>20.9400000000001</v>
      </c>
      <c r="K31" s="54" t="n">
        <f aca="false">SUM('Ablesewerte Strom'!K30-'Ablesewerte Strom'!J30)</f>
        <v>11.77</v>
      </c>
      <c r="L31" s="54" t="n">
        <f aca="false">SUM('Ablesewerte Strom'!L30-'Ablesewerte Strom'!K30)</f>
        <v>25.0500000000002</v>
      </c>
      <c r="M31" s="54" t="n">
        <f aca="false">SUM('Ablesewerte Strom'!M30-'Ablesewerte Strom'!L30)</f>
        <v>31.2399999999998</v>
      </c>
      <c r="N31" s="54" t="n">
        <f aca="false">SUM('Ablesewerte Strom'!N30-'Ablesewerte Strom'!M30)</f>
        <v>34.4200000000001</v>
      </c>
      <c r="O31" s="54" t="n">
        <f aca="false">SUM('Ablesewerte Strom'!O30-'Ablesewerte Strom'!N30)</f>
        <v>29.75</v>
      </c>
      <c r="P31" s="54" t="n">
        <f aca="false">SUM(D31:O31)</f>
        <v>313.64</v>
      </c>
    </row>
    <row r="32" customFormat="false" ht="12.75" hidden="false" customHeight="false" outlineLevel="0" collapsed="false">
      <c r="A32" s="1" t="s">
        <v>50</v>
      </c>
      <c r="D32" s="54" t="n">
        <f aca="false">SUM('Ablesewerte Strom'!D31-'Ablesewerte Strom'!C31)</f>
        <v>938.900000000009</v>
      </c>
      <c r="E32" s="54" t="n">
        <f aca="false">SUM('Ablesewerte Strom'!E31-'Ablesewerte Strom'!D31)</f>
        <v>942</v>
      </c>
      <c r="F32" s="54" t="n">
        <f aca="false">SUM('Ablesewerte Strom'!F31-'Ablesewerte Strom'!E31)</f>
        <v>828.5</v>
      </c>
      <c r="G32" s="54" t="n">
        <f aca="false">SUM('Ablesewerte Strom'!G31-'Ablesewerte Strom'!F31)</f>
        <v>768.599999999991</v>
      </c>
      <c r="H32" s="54" t="n">
        <f aca="false">SUM('Ablesewerte Strom'!H31-'Ablesewerte Strom'!G31)</f>
        <v>564.800000000003</v>
      </c>
      <c r="I32" s="54" t="n">
        <f aca="false">SUM('Ablesewerte Strom'!I31-'Ablesewerte Strom'!H31)</f>
        <v>620.199999999997</v>
      </c>
      <c r="J32" s="54" t="n">
        <f aca="false">SUM('Ablesewerte Strom'!J31-'Ablesewerte Strom'!I31)</f>
        <v>479</v>
      </c>
      <c r="K32" s="54" t="n">
        <f aca="false">SUM('Ablesewerte Strom'!K31-'Ablesewerte Strom'!J31)</f>
        <v>369.100000000006</v>
      </c>
      <c r="L32" s="54" t="n">
        <f aca="false">SUM('Ablesewerte Strom'!L31-'Ablesewerte Strom'!K31)</f>
        <v>697.899999999994</v>
      </c>
      <c r="M32" s="54" t="n">
        <f aca="false">SUM('Ablesewerte Strom'!M31-'Ablesewerte Strom'!L31)</f>
        <v>909</v>
      </c>
      <c r="N32" s="54" t="n">
        <f aca="false">SUM('Ablesewerte Strom'!N31-'Ablesewerte Strom'!M31)</f>
        <v>1121.2</v>
      </c>
      <c r="O32" s="54" t="n">
        <f aca="false">SUM('Ablesewerte Strom'!O31-'Ablesewerte Strom'!N31)</f>
        <v>1037.40000000001</v>
      </c>
      <c r="P32" s="54" t="n">
        <f aca="false">SUM(D32:O32)</f>
        <v>9276.60000000001</v>
      </c>
    </row>
    <row r="33" customFormat="false" ht="12.75" hidden="false" customHeight="false" outlineLevel="0" collapsed="false">
      <c r="A33" s="1" t="s">
        <v>51</v>
      </c>
      <c r="D33" s="54" t="n">
        <f aca="false">SUM('Ablesewerte Strom'!D32-'Ablesewerte Strom'!C32)</f>
        <v>0</v>
      </c>
      <c r="E33" s="54" t="n">
        <f aca="false">SUM('Ablesewerte Strom'!E32-'Ablesewerte Strom'!D32)</f>
        <v>0</v>
      </c>
      <c r="F33" s="54" t="n">
        <f aca="false">SUM('Ablesewerte Strom'!F32-'Ablesewerte Strom'!E32)</f>
        <v>0</v>
      </c>
      <c r="G33" s="54" t="n">
        <f aca="false">SUM('Ablesewerte Strom'!G32-'Ablesewerte Strom'!F32)</f>
        <v>0</v>
      </c>
      <c r="H33" s="54" t="n">
        <f aca="false">SUM('Ablesewerte Strom'!H32-'Ablesewerte Strom'!G32)</f>
        <v>0</v>
      </c>
      <c r="I33" s="54" t="n">
        <f aca="false">SUM('Ablesewerte Strom'!I32-'Ablesewerte Strom'!H32)</f>
        <v>0</v>
      </c>
      <c r="J33" s="54" t="n">
        <f aca="false">SUM('Ablesewerte Strom'!J32-'Ablesewerte Strom'!I32)</f>
        <v>0</v>
      </c>
      <c r="K33" s="54" t="n">
        <f aca="false">SUM('Ablesewerte Strom'!K32-'Ablesewerte Strom'!J32)</f>
        <v>0</v>
      </c>
      <c r="L33" s="54" t="n">
        <f aca="false">SUM('Ablesewerte Strom'!L32-'Ablesewerte Strom'!K32)</f>
        <v>0</v>
      </c>
      <c r="M33" s="54" t="n">
        <f aca="false">SUM('Ablesewerte Strom'!M32-'Ablesewerte Strom'!L32)</f>
        <v>0</v>
      </c>
      <c r="N33" s="54" t="n">
        <f aca="false">SUM('Ablesewerte Strom'!N32-'Ablesewerte Strom'!M32)</f>
        <v>0</v>
      </c>
      <c r="O33" s="54" t="n">
        <f aca="false">SUM('Ablesewerte Strom'!O32-'Ablesewerte Strom'!N32)</f>
        <v>0</v>
      </c>
      <c r="P33" s="54" t="n">
        <f aca="false">SUM(D33:O33)</f>
        <v>0</v>
      </c>
    </row>
    <row r="34" customFormat="false" ht="12.75" hidden="false" customHeight="false" outlineLevel="0" collapsed="false">
      <c r="A34" s="1" t="s">
        <v>52</v>
      </c>
      <c r="D34" s="54" t="n">
        <f aca="false">SUM('Ablesewerte Strom'!D33-'Ablesewerte Strom'!C33)</f>
        <v>0.299999999999272</v>
      </c>
      <c r="E34" s="54" t="n">
        <f aca="false">SUM('Ablesewerte Strom'!E33-'Ablesewerte Strom'!D33)</f>
        <v>0.400000000000546</v>
      </c>
      <c r="F34" s="54" t="n">
        <f aca="false">SUM('Ablesewerte Strom'!F33-'Ablesewerte Strom'!E33)</f>
        <v>0.300000000000182</v>
      </c>
      <c r="G34" s="54" t="n">
        <f aca="false">SUM('Ablesewerte Strom'!G33-'Ablesewerte Strom'!F33)</f>
        <v>0.599999999999454</v>
      </c>
      <c r="H34" s="54" t="n">
        <f aca="false">SUM('Ablesewerte Strom'!H33-'Ablesewerte Strom'!G33)</f>
        <v>0.199999999999818</v>
      </c>
      <c r="I34" s="54" t="n">
        <f aca="false">SUM('Ablesewerte Strom'!I33-'Ablesewerte Strom'!H33)</f>
        <v>0.400000000000546</v>
      </c>
      <c r="J34" s="54" t="n">
        <f aca="false">SUM('Ablesewerte Strom'!J33-'Ablesewerte Strom'!I33)</f>
        <v>89.6999999999998</v>
      </c>
      <c r="K34" s="54" t="n">
        <f aca="false">SUM('Ablesewerte Strom'!K33-'Ablesewerte Strom'!J33)</f>
        <v>0.100000000000364</v>
      </c>
      <c r="L34" s="54" t="n">
        <f aca="false">SUM('Ablesewerte Strom'!L33-'Ablesewerte Strom'!K33)</f>
        <v>0.299999999999272</v>
      </c>
      <c r="M34" s="54" t="n">
        <f aca="false">SUM('Ablesewerte Strom'!M33-'Ablesewerte Strom'!L33)</f>
        <v>0</v>
      </c>
      <c r="N34" s="54" t="n">
        <f aca="false">SUM('Ablesewerte Strom'!N33-'Ablesewerte Strom'!M33)</f>
        <v>0</v>
      </c>
      <c r="O34" s="54" t="n">
        <f aca="false">SUM('Ablesewerte Strom'!O33-'Ablesewerte Strom'!N33)</f>
        <v>0</v>
      </c>
      <c r="P34" s="54" t="n">
        <f aca="false">SUM(D34:O34)</f>
        <v>92.2999999999993</v>
      </c>
    </row>
    <row r="35" customFormat="false" ht="12.75" hidden="false" customHeight="false" outlineLevel="0" collapsed="false">
      <c r="A35" s="1" t="s">
        <v>39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</row>
    <row r="36" customFormat="false" ht="12.75" hidden="false" customHeight="false" outlineLevel="0" collapsed="false"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Q36" s="54" t="n">
        <f aca="false">SUM(D35:O36)</f>
        <v>0</v>
      </c>
    </row>
    <row r="37" customFormat="false" ht="12.75" hidden="false" customHeight="false" outlineLevel="0" collapsed="false">
      <c r="A37" s="1" t="s">
        <v>53</v>
      </c>
      <c r="D37" s="54" t="n">
        <f aca="false">SUM('Ablesewerte Strom'!D35-'Ablesewerte Strom'!C35)</f>
        <v>957.799999999988</v>
      </c>
      <c r="E37" s="54" t="n">
        <f aca="false">SUM('Ablesewerte Strom'!E35-'Ablesewerte Strom'!D35)</f>
        <v>1057.5</v>
      </c>
      <c r="F37" s="54" t="n">
        <f aca="false">SUM('Ablesewerte Strom'!F35-'Ablesewerte Strom'!E35)</f>
        <v>1176.40000000001</v>
      </c>
      <c r="G37" s="54" t="n">
        <f aca="false">SUM('Ablesewerte Strom'!G35-'Ablesewerte Strom'!F35)</f>
        <v>1033.89999999999</v>
      </c>
      <c r="H37" s="54" t="n">
        <f aca="false">SUM('Ablesewerte Strom'!H35-'Ablesewerte Strom'!G35)</f>
        <v>918</v>
      </c>
      <c r="I37" s="54" t="n">
        <f aca="false">SUM('Ablesewerte Strom'!I35-'Ablesewerte Strom'!H35)</f>
        <v>752.600000000006</v>
      </c>
      <c r="J37" s="54" t="n">
        <f aca="false">SUM('Ablesewerte Strom'!J35-'Ablesewerte Strom'!I35)</f>
        <v>701.399999999994</v>
      </c>
      <c r="K37" s="54" t="n">
        <f aca="false">SUM('Ablesewerte Strom'!K35-'Ablesewerte Strom'!J35)</f>
        <v>198.900000000009</v>
      </c>
      <c r="L37" s="54" t="n">
        <f aca="false">SUM('Ablesewerte Strom'!L35-'Ablesewerte Strom'!K35)</f>
        <v>783.599999999991</v>
      </c>
      <c r="M37" s="54" t="n">
        <f aca="false">SUM('Ablesewerte Strom'!M35-'Ablesewerte Strom'!L35)</f>
        <v>1027.40000000001</v>
      </c>
      <c r="N37" s="54" t="n">
        <f aca="false">SUM('Ablesewerte Strom'!N35-'Ablesewerte Strom'!M35)</f>
        <v>920</v>
      </c>
      <c r="O37" s="54" t="n">
        <f aca="false">SUM('Ablesewerte Strom'!O35-'Ablesewerte Strom'!N35)</f>
        <v>982.5</v>
      </c>
      <c r="P37" s="54" t="n">
        <f aca="false">SUM(D37:O37)</f>
        <v>10510</v>
      </c>
      <c r="Q37" s="1" t="s">
        <v>54</v>
      </c>
      <c r="R37" s="81" t="n">
        <f aca="false">SUM(Q24:Q36)</f>
        <v>58720</v>
      </c>
    </row>
    <row r="44" customFormat="false" ht="15" hidden="false" customHeight="false" outlineLevel="0" collapsed="false">
      <c r="A44" s="2" t="n">
        <v>2014</v>
      </c>
    </row>
    <row r="45" customFormat="false" ht="15" hidden="false" customHeight="false" outlineLevel="0" collapsed="false">
      <c r="A45" s="2" t="s">
        <v>23</v>
      </c>
      <c r="D45" s="79" t="s">
        <v>2</v>
      </c>
      <c r="E45" s="79" t="s">
        <v>3</v>
      </c>
      <c r="F45" s="79" t="s">
        <v>4</v>
      </c>
      <c r="G45" s="79" t="s">
        <v>5</v>
      </c>
      <c r="H45" s="79" t="s">
        <v>6</v>
      </c>
      <c r="I45" s="79" t="s">
        <v>7</v>
      </c>
      <c r="J45" s="79" t="s">
        <v>8</v>
      </c>
      <c r="K45" s="79" t="s">
        <v>9</v>
      </c>
      <c r="L45" s="79" t="s">
        <v>10</v>
      </c>
      <c r="M45" s="79" t="s">
        <v>11</v>
      </c>
      <c r="N45" s="79" t="s">
        <v>12</v>
      </c>
      <c r="O45" s="79" t="s">
        <v>13</v>
      </c>
    </row>
    <row r="47" customFormat="false" ht="12.75" hidden="false" customHeight="false" outlineLevel="0" collapsed="false">
      <c r="A47" s="1" t="s">
        <v>27</v>
      </c>
      <c r="D47" s="54" t="n">
        <f aca="false">SUM('Ablesewerte Strom'!D43-'Ablesewerte Strom'!C43)</f>
        <v>3112.59999999998</v>
      </c>
      <c r="E47" s="54" t="n">
        <f aca="false">SUM('Ablesewerte Strom'!E43-'Ablesewerte Strom'!D43)</f>
        <v>3690.29999999999</v>
      </c>
      <c r="F47" s="54" t="n">
        <f aca="false">SUM('Ablesewerte Strom'!F43-'Ablesewerte Strom'!E43)</f>
        <v>2903.40000000002</v>
      </c>
      <c r="G47" s="54" t="n">
        <f aca="false">SUM('Ablesewerte Strom'!G43-'Ablesewerte Strom'!F43)</f>
        <v>2838.79999999999</v>
      </c>
      <c r="H47" s="54" t="n">
        <f aca="false">SUM('Ablesewerte Strom'!H43-'Ablesewerte Strom'!G43)</f>
        <v>2520.5</v>
      </c>
      <c r="I47" s="54" t="n">
        <f aca="false">SUM('Ablesewerte Strom'!I43-'Ablesewerte Strom'!H43)</f>
        <v>1674.90000000002</v>
      </c>
      <c r="J47" s="54" t="n">
        <f aca="false">SUM('Ablesewerte Strom'!J43-'Ablesewerte Strom'!I43)</f>
        <v>2055.09999999998</v>
      </c>
      <c r="K47" s="54" t="n">
        <f aca="false">SUM('Ablesewerte Strom'!K43-'Ablesewerte Strom'!J43)</f>
        <v>1474.5</v>
      </c>
      <c r="L47" s="54" t="n">
        <f aca="false">SUM('Ablesewerte Strom'!L43-'Ablesewerte Strom'!K43)</f>
        <v>2032.40000000002</v>
      </c>
      <c r="M47" s="54" t="n">
        <f aca="false">SUM('Ablesewerte Strom'!M43-'Ablesewerte Strom'!L43)</f>
        <v>1908.20000000001</v>
      </c>
      <c r="N47" s="54" t="n">
        <f aca="false">SUM('Ablesewerte Strom'!N43-'Ablesewerte Strom'!M43)</f>
        <v>2470.89999999997</v>
      </c>
      <c r="O47" s="54" t="n">
        <f aca="false">SUM('Ablesewerte Strom'!O43-'Ablesewerte Strom'!N43)</f>
        <v>3135.79999999999</v>
      </c>
      <c r="Q47" s="54" t="n">
        <f aca="false">SUM(D47:O47)</f>
        <v>29817.4</v>
      </c>
    </row>
    <row r="48" customFormat="false" ht="12.75" hidden="false" customHeight="false" outlineLevel="0" collapsed="false">
      <c r="A48" s="1" t="s">
        <v>28</v>
      </c>
      <c r="D48" s="54" t="n">
        <f aca="false">SUM('Ablesewerte Strom'!D44-'Ablesewerte Strom'!C44)</f>
        <v>2319.89999999999</v>
      </c>
      <c r="E48" s="54" t="n">
        <f aca="false">SUM('Ablesewerte Strom'!E44-'Ablesewerte Strom'!D44)</f>
        <v>2726.60000000001</v>
      </c>
      <c r="F48" s="54" t="n">
        <f aca="false">SUM('Ablesewerte Strom'!F44-'Ablesewerte Strom'!E44)</f>
        <v>2147</v>
      </c>
      <c r="G48" s="54" t="n">
        <f aca="false">SUM('Ablesewerte Strom'!G44-'Ablesewerte Strom'!F44)</f>
        <v>2107.29999999999</v>
      </c>
      <c r="H48" s="54" t="n">
        <f aca="false">SUM('Ablesewerte Strom'!H44-'Ablesewerte Strom'!G44)</f>
        <v>1756.30000000002</v>
      </c>
      <c r="I48" s="54" t="n">
        <f aca="false">SUM('Ablesewerte Strom'!I44-'Ablesewerte Strom'!H44)</f>
        <v>1022.19999999998</v>
      </c>
      <c r="J48" s="54" t="n">
        <f aca="false">SUM('Ablesewerte Strom'!J44-'Ablesewerte Strom'!I44)</f>
        <v>1162.5</v>
      </c>
      <c r="K48" s="54" t="n">
        <f aca="false">SUM('Ablesewerte Strom'!K48-'Ablesewerte Strom'!J48)</f>
        <v>60.8800000000001</v>
      </c>
      <c r="L48" s="54" t="n">
        <f aca="false">SUM('Ablesewerte Strom'!L44-'Ablesewerte Strom'!K44)</f>
        <v>1231.89999999999</v>
      </c>
      <c r="M48" s="54" t="n">
        <f aca="false">SUM('Ablesewerte Strom'!M44-'Ablesewerte Strom'!L44)</f>
        <v>1218.90000000002</v>
      </c>
      <c r="N48" s="54" t="n">
        <f aca="false">SUM('Ablesewerte Strom'!N44-'Ablesewerte Strom'!M44)</f>
        <v>1664</v>
      </c>
      <c r="O48" s="54" t="n">
        <f aca="false">SUM('Ablesewerte Strom'!O44-'Ablesewerte Strom'!N44)</f>
        <v>2210.5</v>
      </c>
      <c r="Q48" s="54" t="n">
        <f aca="false">SUM(D48:O48)</f>
        <v>19627.98</v>
      </c>
    </row>
    <row r="49" customFormat="false" ht="12.75" hidden="false" customHeight="false" outlineLevel="0" collapsed="false">
      <c r="A49" s="1" t="s">
        <v>29</v>
      </c>
      <c r="D49" s="54" t="n">
        <f aca="false">SUM('Ablesewerte Strom'!D45-'Ablesewerte Strom'!C45)</f>
        <v>64.5</v>
      </c>
      <c r="E49" s="54" t="n">
        <f aca="false">SUM('Ablesewerte Strom'!E45-'Ablesewerte Strom'!D45)</f>
        <v>48.8999999999942</v>
      </c>
      <c r="F49" s="54" t="n">
        <f aca="false">SUM('Ablesewerte Strom'!F45-'Ablesewerte Strom'!E45)</f>
        <v>20.7000000000044</v>
      </c>
      <c r="G49" s="54" t="n">
        <f aca="false">SUM('Ablesewerte Strom'!G45-'Ablesewerte Strom'!F45)</f>
        <v>18.6999999999971</v>
      </c>
      <c r="H49" s="54" t="n">
        <f aca="false">SUM('Ablesewerte Strom'!H45-'Ablesewerte Strom'!G45)</f>
        <v>30.3000000000029</v>
      </c>
      <c r="I49" s="54" t="n">
        <f aca="false">SUM('Ablesewerte Strom'!I45-'Ablesewerte Strom'!H45)</f>
        <v>5</v>
      </c>
      <c r="J49" s="54" t="n">
        <f aca="false">SUM('Ablesewerte Strom'!J45-'Ablesewerte Strom'!I45)</f>
        <v>17.5</v>
      </c>
      <c r="K49" s="54" t="n">
        <f aca="false">SUM('Ablesewerte Strom'!K45-'Ablesewerte Strom'!J45)</f>
        <v>2</v>
      </c>
      <c r="L49" s="54" t="n">
        <f aca="false">SUM('Ablesewerte Strom'!L45-'Ablesewerte Strom'!K45)</f>
        <v>75.9000000000015</v>
      </c>
      <c r="M49" s="54" t="n">
        <f aca="false">SUM('Ablesewerte Strom'!M45-'Ablesewerte Strom'!L45)</f>
        <v>45.6999999999971</v>
      </c>
      <c r="N49" s="54" t="n">
        <f aca="false">SUM('Ablesewerte Strom'!N45-'Ablesewerte Strom'!M45)</f>
        <v>61</v>
      </c>
      <c r="O49" s="54" t="n">
        <f aca="false">SUM('Ablesewerte Strom'!O45-'Ablesewerte Strom'!N45)</f>
        <v>43.8000000000029</v>
      </c>
      <c r="Q49" s="54" t="n">
        <f aca="false">SUM(D49:O49)</f>
        <v>434</v>
      </c>
    </row>
    <row r="50" customFormat="false" ht="12.75" hidden="false" customHeight="false" outlineLevel="0" collapsed="false">
      <c r="A50" s="1" t="s">
        <v>30</v>
      </c>
      <c r="D50" s="54" t="n">
        <f aca="false">SUM('Ablesewerte Strom'!D46-'Ablesewerte Strom'!C46)</f>
        <v>101.400000000001</v>
      </c>
      <c r="E50" s="54" t="n">
        <f aca="false">SUM('Ablesewerte Strom'!E46-'Ablesewerte Strom'!D46)</f>
        <v>134.699999999997</v>
      </c>
      <c r="F50" s="54" t="n">
        <f aca="false">SUM('Ablesewerte Strom'!F46-'Ablesewerte Strom'!E46)</f>
        <v>113.200000000004</v>
      </c>
      <c r="G50" s="54" t="n">
        <f aca="false">SUM('Ablesewerte Strom'!G46-'Ablesewerte Strom'!F46)</f>
        <v>139.400000000001</v>
      </c>
      <c r="H50" s="54" t="n">
        <f aca="false">SUM('Ablesewerte Strom'!H46-'Ablesewerte Strom'!G46)</f>
        <v>108</v>
      </c>
      <c r="I50" s="54" t="n">
        <f aca="false">SUM('Ablesewerte Strom'!I46-'Ablesewerte Strom'!H46)</f>
        <v>279.399999999994</v>
      </c>
      <c r="J50" s="54" t="n">
        <f aca="false">SUM('Ablesewerte Strom'!J46-'Ablesewerte Strom'!I46)</f>
        <v>364.600000000006</v>
      </c>
      <c r="K50" s="54" t="n">
        <f aca="false">SUM('Ablesewerte Strom'!K46-'Ablesewerte Strom'!J46)</f>
        <v>387</v>
      </c>
      <c r="L50" s="54" t="n">
        <f aca="false">SUM('Ablesewerte Strom'!L46-'Ablesewerte Strom'!K46)</f>
        <v>193.199999999997</v>
      </c>
      <c r="M50" s="54" t="n">
        <f aca="false">SUM('Ablesewerte Strom'!M46-'Ablesewerte Strom'!L46)</f>
        <v>47</v>
      </c>
      <c r="N50" s="54" t="n">
        <f aca="false">SUM('Ablesewerte Strom'!N46-'Ablesewerte Strom'!M46)</f>
        <v>46.4000000000015</v>
      </c>
      <c r="O50" s="54" t="n">
        <f aca="false">SUM('Ablesewerte Strom'!O46-'Ablesewerte Strom'!N46)</f>
        <v>61.7999999999956</v>
      </c>
      <c r="Q50" s="54" t="n">
        <f aca="false">SUM(D50:O50)</f>
        <v>1976.1</v>
      </c>
    </row>
    <row r="51" customFormat="false" ht="12.75" hidden="false" customHeight="false" outlineLevel="0" collapsed="false">
      <c r="A51" s="1" t="s">
        <v>31</v>
      </c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</row>
    <row r="52" customFormat="false" ht="12.75" hidden="false" customHeight="false" outlineLevel="0" collapsed="false"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Q52" s="54" t="n">
        <f aca="false">SUM(D51:O52)</f>
        <v>0</v>
      </c>
    </row>
    <row r="53" customFormat="false" ht="12.75" hidden="false" customHeight="false" outlineLevel="0" collapsed="false">
      <c r="A53" s="1" t="s">
        <v>48</v>
      </c>
      <c r="D53" s="54" t="n">
        <f aca="false">SUM('Ablesewerte Strom'!D48-'Ablesewerte Strom'!C48)</f>
        <v>59.8400000000001</v>
      </c>
      <c r="E53" s="54" t="n">
        <f aca="false">SUM('Ablesewerte Strom'!E48-'Ablesewerte Strom'!D48)</f>
        <v>74.1700000000001</v>
      </c>
      <c r="F53" s="54" t="n">
        <f aca="false">SUM('Ablesewerte Strom'!F48-'Ablesewerte Strom'!E48)</f>
        <v>58.8899999999994</v>
      </c>
      <c r="G53" s="54" t="n">
        <f aca="false">SUM('Ablesewerte Strom'!G48-'Ablesewerte Strom'!F48)</f>
        <v>54.8600000000006</v>
      </c>
      <c r="H53" s="54" t="n">
        <f aca="false">SUM('Ablesewerte Strom'!H48-'Ablesewerte Strom'!G48)</f>
        <v>71.5900000000002</v>
      </c>
      <c r="I53" s="54" t="n">
        <f aca="false">SUM('Ablesewerte Strom'!I48-'Ablesewerte Strom'!H48)</f>
        <v>48.6700000000001</v>
      </c>
      <c r="J53" s="54" t="n">
        <f aca="false">SUM('Ablesewerte Strom'!J48-'Ablesewerte Strom'!I48)</f>
        <v>67.1099999999997</v>
      </c>
      <c r="K53" s="54" t="n">
        <f aca="false">SUM('Ablesewerte Strom'!K48-'Ablesewerte Strom'!J48)</f>
        <v>60.8800000000001</v>
      </c>
      <c r="L53" s="54" t="n">
        <f aca="false">SUM('Ablesewerte Strom'!L48-'Ablesewerte Strom'!K48)</f>
        <v>70.4899999999998</v>
      </c>
      <c r="M53" s="54" t="n">
        <f aca="false">SUM('Ablesewerte Strom'!M48-'Ablesewerte Strom'!L48)</f>
        <v>56.8500000000004</v>
      </c>
      <c r="N53" s="54" t="n">
        <f aca="false">SUM('Ablesewerte Strom'!N48-'Ablesewerte Strom'!M48)</f>
        <v>68.3499999999995</v>
      </c>
      <c r="O53" s="54" t="n">
        <f aca="false">SUM('Ablesewerte Strom'!O48-'Ablesewerte Strom'!N48)</f>
        <v>63.6300000000001</v>
      </c>
      <c r="P53" s="54" t="n">
        <f aca="false">SUM(D53:O53)</f>
        <v>755.33</v>
      </c>
    </row>
    <row r="54" customFormat="false" ht="12.75" hidden="false" customHeight="false" outlineLevel="0" collapsed="false">
      <c r="A54" s="1" t="s">
        <v>49</v>
      </c>
      <c r="D54" s="54" t="n">
        <f aca="false">SUM('Ablesewerte Strom'!D49-'Ablesewerte Strom'!C49)</f>
        <v>25.9899999999998</v>
      </c>
      <c r="E54" s="54" t="n">
        <f aca="false">SUM('Ablesewerte Strom'!E49-'Ablesewerte Strom'!D49)</f>
        <v>33.0800000000004</v>
      </c>
      <c r="F54" s="54" t="n">
        <f aca="false">SUM('Ablesewerte Strom'!F49-'Ablesewerte Strom'!E49)</f>
        <v>24.04</v>
      </c>
      <c r="G54" s="54" t="n">
        <f aca="false">SUM('Ablesewerte Strom'!G49-'Ablesewerte Strom'!F49)</f>
        <v>21.02</v>
      </c>
      <c r="H54" s="54" t="n">
        <f aca="false">SUM('Ablesewerte Strom'!H49-'Ablesewerte Strom'!G49)</f>
        <v>25.1399999999999</v>
      </c>
      <c r="I54" s="54" t="n">
        <f aca="false">SUM('Ablesewerte Strom'!I49-'Ablesewerte Strom'!H49)</f>
        <v>16.7199999999998</v>
      </c>
      <c r="J54" s="54" t="n">
        <f aca="false">SUM('Ablesewerte Strom'!J49-'Ablesewerte Strom'!I49)</f>
        <v>24.2400000000002</v>
      </c>
      <c r="K54" s="54" t="n">
        <f aca="false">SUM('Ablesewerte Strom'!K49-'Ablesewerte Strom'!J49)</f>
        <v>16.3600000000001</v>
      </c>
      <c r="L54" s="54" t="n">
        <f aca="false">SUM('Ablesewerte Strom'!L49-'Ablesewerte Strom'!K49)</f>
        <v>29.2399999999998</v>
      </c>
      <c r="M54" s="54" t="n">
        <f aca="false">SUM('Ablesewerte Strom'!M49-'Ablesewerte Strom'!L49)</f>
        <v>25.2400000000002</v>
      </c>
      <c r="N54" s="54" t="n">
        <f aca="false">SUM('Ablesewerte Strom'!N49-'Ablesewerte Strom'!M49)</f>
        <v>32.6099999999997</v>
      </c>
      <c r="O54" s="54" t="n">
        <f aca="false">SUM('Ablesewerte Strom'!O49-'Ablesewerte Strom'!N49)</f>
        <v>33.27</v>
      </c>
      <c r="P54" s="54" t="n">
        <f aca="false">SUM(D54:O54)</f>
        <v>306.95</v>
      </c>
    </row>
    <row r="55" customFormat="false" ht="12.75" hidden="false" customHeight="false" outlineLevel="0" collapsed="false">
      <c r="A55" s="1" t="s">
        <v>50</v>
      </c>
      <c r="D55" s="54" t="n">
        <f aca="false">SUM('Ablesewerte Strom'!D50-'Ablesewerte Strom'!C50)</f>
        <v>937.5</v>
      </c>
      <c r="E55" s="54" t="n">
        <f aca="false">SUM('Ablesewerte Strom'!E50-'Ablesewerte Strom'!D50)</f>
        <v>1112.8</v>
      </c>
      <c r="F55" s="54" t="n">
        <f aca="false">SUM('Ablesewerte Strom'!F50-'Ablesewerte Strom'!E50)</f>
        <v>820.799999999988</v>
      </c>
      <c r="G55" s="54" t="n">
        <f aca="false">SUM('Ablesewerte Strom'!G50-'Ablesewerte Strom'!F50)</f>
        <v>698.100000000006</v>
      </c>
      <c r="H55" s="54" t="n">
        <f aca="false">SUM('Ablesewerte Strom'!H50-'Ablesewerte Strom'!G50)</f>
        <v>674.5</v>
      </c>
      <c r="I55" s="54" t="n">
        <f aca="false">SUM('Ablesewerte Strom'!I50-'Ablesewerte Strom'!H50)</f>
        <v>460.5</v>
      </c>
      <c r="J55" s="54" t="n">
        <f aca="false">SUM('Ablesewerte Strom'!J50-'Ablesewerte Strom'!I50)</f>
        <v>610.199999999997</v>
      </c>
      <c r="K55" s="54" t="n">
        <f aca="false">SUM('Ablesewerte Strom'!K50-'Ablesewerte Strom'!J50)</f>
        <v>501.900000000009</v>
      </c>
      <c r="L55" s="54" t="n">
        <f aca="false">SUM('Ablesewerte Strom'!L50-'Ablesewerte Strom'!K50)</f>
        <v>799.599999999991</v>
      </c>
      <c r="M55" s="54" t="n">
        <f aca="false">SUM('Ablesewerte Strom'!M50-'Ablesewerte Strom'!L50)</f>
        <v>0</v>
      </c>
      <c r="N55" s="54" t="n">
        <f aca="false">SUM('Ablesewerte Strom'!N50-'Ablesewerte Strom'!M50)</f>
        <v>0</v>
      </c>
      <c r="O55" s="54" t="n">
        <f aca="false">SUM('Ablesewerte Strom'!O50-'Ablesewerte Strom'!N50)</f>
        <v>32.6999999999971</v>
      </c>
      <c r="P55" s="54" t="n">
        <f aca="false">SUM(D55:O55)</f>
        <v>6648.59999999999</v>
      </c>
    </row>
    <row r="56" customFormat="false" ht="12.75" hidden="false" customHeight="false" outlineLevel="0" collapsed="false">
      <c r="A56" s="1" t="s">
        <v>51</v>
      </c>
      <c r="D56" s="54" t="n">
        <f aca="false">SUM('Ablesewerte Strom'!D51-'Ablesewerte Strom'!C51)</f>
        <v>0</v>
      </c>
      <c r="E56" s="54" t="n">
        <f aca="false">SUM('Ablesewerte Strom'!E51-'Ablesewerte Strom'!D51)</f>
        <v>36</v>
      </c>
      <c r="F56" s="54" t="n">
        <f aca="false">SUM('Ablesewerte Strom'!F51-'Ablesewerte Strom'!E51)</f>
        <v>0</v>
      </c>
      <c r="G56" s="54" t="n">
        <f aca="false">SUM('Ablesewerte Strom'!G51-'Ablesewerte Strom'!F51)</f>
        <v>0</v>
      </c>
      <c r="H56" s="54" t="n">
        <f aca="false">SUM('Ablesewerte Strom'!H51-'Ablesewerte Strom'!G51)</f>
        <v>0</v>
      </c>
      <c r="I56" s="54" t="n">
        <f aca="false">SUM('Ablesewerte Strom'!I51-'Ablesewerte Strom'!H51)</f>
        <v>0</v>
      </c>
      <c r="J56" s="54" t="n">
        <f aca="false">SUM('Ablesewerte Strom'!J51-'Ablesewerte Strom'!I51)</f>
        <v>0</v>
      </c>
      <c r="K56" s="54" t="n">
        <f aca="false">SUM('Ablesewerte Strom'!K51-'Ablesewerte Strom'!J51)</f>
        <v>0</v>
      </c>
      <c r="L56" s="54" t="n">
        <f aca="false">SUM('Ablesewerte Strom'!L51-'Ablesewerte Strom'!K51)</f>
        <v>0</v>
      </c>
      <c r="M56" s="54" t="n">
        <f aca="false">SUM('Ablesewerte Strom'!M51-'Ablesewerte Strom'!L51)</f>
        <v>-36</v>
      </c>
      <c r="N56" s="54" t="n">
        <f aca="false">SUM('Ablesewerte Strom'!N51-'Ablesewerte Strom'!M51)</f>
        <v>0</v>
      </c>
      <c r="O56" s="54" t="n">
        <f aca="false">SUM('Ablesewerte Strom'!O51-'Ablesewerte Strom'!N51)</f>
        <v>0</v>
      </c>
      <c r="P56" s="54" t="n">
        <f aca="false">SUM(D56:O56)</f>
        <v>0</v>
      </c>
    </row>
    <row r="57" customFormat="false" ht="12.75" hidden="false" customHeight="false" outlineLevel="0" collapsed="false">
      <c r="A57" s="1" t="s">
        <v>52</v>
      </c>
      <c r="D57" s="54" t="n">
        <f aca="false">SUM('Ablesewerte Strom'!D52-'Ablesewerte Strom'!C52)</f>
        <v>0</v>
      </c>
      <c r="E57" s="54" t="n">
        <f aca="false">SUM('Ablesewerte Strom'!E52-'Ablesewerte Strom'!D52)</f>
        <v>72.9000000000006</v>
      </c>
      <c r="F57" s="54" t="n">
        <f aca="false">SUM('Ablesewerte Strom'!F52-'Ablesewerte Strom'!E52)</f>
        <v>470.999999999999</v>
      </c>
      <c r="G57" s="54" t="n">
        <f aca="false">SUM('Ablesewerte Strom'!G52-'Ablesewerte Strom'!F52)</f>
        <v>208.5</v>
      </c>
      <c r="H57" s="54" t="n">
        <f aca="false">SUM('Ablesewerte Strom'!H52-'Ablesewerte Strom'!G52)</f>
        <v>220.800000000001</v>
      </c>
      <c r="I57" s="54" t="n">
        <f aca="false">SUM('Ablesewerte Strom'!I52-'Ablesewerte Strom'!H52)</f>
        <v>107.1</v>
      </c>
      <c r="J57" s="54" t="n">
        <f aca="false">SUM('Ablesewerte Strom'!J52-'Ablesewerte Strom'!I52)</f>
        <v>264.799999999999</v>
      </c>
      <c r="K57" s="54" t="n">
        <f aca="false">SUM('Ablesewerte Strom'!K52-'Ablesewerte Strom'!J52)</f>
        <v>323.4</v>
      </c>
      <c r="L57" s="54" t="n">
        <f aca="false">SUM('Ablesewerte Strom'!L52-'Ablesewerte Strom'!K52)</f>
        <v>98.1000000000004</v>
      </c>
      <c r="M57" s="54" t="n">
        <f aca="false">SUM('Ablesewerte Strom'!M52-'Ablesewerte Strom'!L52)</f>
        <v>-1766.6</v>
      </c>
      <c r="N57" s="54" t="n">
        <f aca="false">SUM('Ablesewerte Strom'!N52-'Ablesewerte Strom'!M52)</f>
        <v>0</v>
      </c>
      <c r="O57" s="54" t="n">
        <f aca="false">SUM('Ablesewerte Strom'!O52-'Ablesewerte Strom'!N52)</f>
        <v>0</v>
      </c>
      <c r="P57" s="54" t="n">
        <f aca="false">SUM(D57:O57)</f>
        <v>0</v>
      </c>
    </row>
    <row r="58" customFormat="false" ht="12.75" hidden="false" customHeight="false" outlineLevel="0" collapsed="false">
      <c r="A58" s="1" t="s">
        <v>39</v>
      </c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</row>
    <row r="59" customFormat="false" ht="12.75" hidden="false" customHeight="false" outlineLevel="0" collapsed="false"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Q59" s="54" t="n">
        <f aca="false">SUM(D58:O59)</f>
        <v>0</v>
      </c>
    </row>
    <row r="60" customFormat="false" ht="12.75" hidden="false" customHeight="false" outlineLevel="0" collapsed="false">
      <c r="A60" s="1" t="s">
        <v>53</v>
      </c>
      <c r="D60" s="54" t="n">
        <f aca="false">SUM('Ablesewerte Strom'!D54-'Ablesewerte Strom'!C54)</f>
        <v>773.599999999991</v>
      </c>
      <c r="E60" s="54" t="n">
        <f aca="false">SUM('Ablesewerte Strom'!E54-'Ablesewerte Strom'!D54)</f>
        <v>1041.40000000001</v>
      </c>
      <c r="F60" s="54" t="n">
        <f aca="false">SUM('Ablesewerte Strom'!F54-'Ablesewerte Strom'!E54)</f>
        <v>855</v>
      </c>
      <c r="G60" s="54" t="n">
        <f aca="false">SUM('Ablesewerte Strom'!G54-'Ablesewerte Strom'!F54)</f>
        <v>921.799999999988</v>
      </c>
      <c r="H60" s="54" t="n">
        <f aca="false">SUM('Ablesewerte Strom'!H54-'Ablesewerte Strom'!G54)</f>
        <v>717.300000000003</v>
      </c>
      <c r="I60" s="54" t="n">
        <f aca="false">SUM('Ablesewerte Strom'!I54-'Ablesewerte Strom'!H54)</f>
        <v>515.300000000003</v>
      </c>
      <c r="J60" s="54" t="n">
        <f aca="false">SUM('Ablesewerte Strom'!J54-'Ablesewerte Strom'!I54)</f>
        <v>682.600000000006</v>
      </c>
      <c r="K60" s="54" t="n">
        <f aca="false">SUM('Ablesewerte Strom'!K54-'Ablesewerte Strom'!J54)</f>
        <v>741.899999999994</v>
      </c>
      <c r="L60" s="54" t="n">
        <f aca="false">SUM('Ablesewerte Strom'!L54-'Ablesewerte Strom'!K54)</f>
        <v>780.699999999997</v>
      </c>
      <c r="M60" s="54" t="n">
        <f aca="false">SUM('Ablesewerte Strom'!M54-'Ablesewerte Strom'!L54)</f>
        <v>541.100000000006</v>
      </c>
      <c r="N60" s="54" t="n">
        <f aca="false">SUM('Ablesewerte Strom'!N54-'Ablesewerte Strom'!M54)</f>
        <v>577.300000000003</v>
      </c>
      <c r="O60" s="54" t="n">
        <f aca="false">SUM('Ablesewerte Strom'!O54-'Ablesewerte Strom'!N54)</f>
        <v>874.899999999994</v>
      </c>
      <c r="P60" s="54" t="n">
        <f aca="false">SUM(D60:O60)</f>
        <v>9022.89999999999</v>
      </c>
      <c r="Q60" s="1" t="s">
        <v>54</v>
      </c>
      <c r="R60" s="81" t="n">
        <f aca="false">SUM(Q47:Q59)</f>
        <v>51855.48</v>
      </c>
    </row>
    <row r="63" customFormat="false" ht="15" hidden="false" customHeight="false" outlineLevel="0" collapsed="false">
      <c r="A63" s="2" t="n">
        <v>2015</v>
      </c>
    </row>
    <row r="64" customFormat="false" ht="15" hidden="false" customHeight="false" outlineLevel="0" collapsed="false">
      <c r="A64" s="2" t="s">
        <v>23</v>
      </c>
      <c r="D64" s="79" t="s">
        <v>2</v>
      </c>
      <c r="E64" s="79" t="s">
        <v>3</v>
      </c>
      <c r="F64" s="79" t="s">
        <v>4</v>
      </c>
      <c r="G64" s="79" t="s">
        <v>5</v>
      </c>
      <c r="H64" s="79" t="s">
        <v>6</v>
      </c>
      <c r="I64" s="79" t="s">
        <v>7</v>
      </c>
      <c r="J64" s="79" t="s">
        <v>8</v>
      </c>
      <c r="K64" s="79" t="s">
        <v>9</v>
      </c>
      <c r="L64" s="79" t="s">
        <v>10</v>
      </c>
      <c r="M64" s="79" t="s">
        <v>11</v>
      </c>
      <c r="N64" s="79" t="s">
        <v>12</v>
      </c>
      <c r="O64" s="79" t="s">
        <v>13</v>
      </c>
    </row>
    <row r="66" customFormat="false" ht="12.75" hidden="false" customHeight="false" outlineLevel="0" collapsed="false">
      <c r="A66" s="1" t="s">
        <v>27</v>
      </c>
      <c r="D66" s="54" t="n">
        <f aca="false">SUM('Ablesewerte Strom'!D62-'Ablesewerte Strom'!C62)</f>
        <v>2545.10000000004</v>
      </c>
      <c r="E66" s="54" t="n">
        <f aca="false">SUM('Ablesewerte Strom'!E62-'Ablesewerte Strom'!D62)</f>
        <v>2568.09999999998</v>
      </c>
      <c r="F66" s="54" t="n">
        <f aca="false">SUM('Ablesewerte Strom'!F62-'Ablesewerte Strom'!E62)</f>
        <v>2370.90000000002</v>
      </c>
      <c r="G66" s="54" t="n">
        <f aca="false">SUM('Ablesewerte Strom'!G62-'Ablesewerte Strom'!F62)</f>
        <v>2021.39999999997</v>
      </c>
      <c r="H66" s="54" t="n">
        <f aca="false">SUM('Ablesewerte Strom'!H62-'Ablesewerte Strom'!G62)</f>
        <v>1582.90000000002</v>
      </c>
      <c r="I66" s="54" t="n">
        <f aca="false">SUM('Ablesewerte Strom'!I62-'Ablesewerte Strom'!H62)</f>
        <v>1711.20000000001</v>
      </c>
      <c r="J66" s="54" t="n">
        <f aca="false">SUM('Ablesewerte Strom'!J62-'Ablesewerte Strom'!I62)</f>
        <v>1754</v>
      </c>
      <c r="K66" s="54" t="n">
        <f aca="false">SUM('Ablesewerte Strom'!K62-'Ablesewerte Strom'!J62)</f>
        <v>1337.09999999998</v>
      </c>
      <c r="L66" s="54" t="n">
        <f aca="false">SUM('Ablesewerte Strom'!L62-'Ablesewerte Strom'!K62)</f>
        <v>1793.29999999999</v>
      </c>
      <c r="M66" s="54" t="n">
        <f aca="false">SUM('Ablesewerte Strom'!M62-'Ablesewerte Strom'!L62)</f>
        <v>2444.20000000001</v>
      </c>
      <c r="N66" s="54" t="n">
        <f aca="false">SUM('Ablesewerte Strom'!N62-'Ablesewerte Strom'!M62)</f>
        <v>2471.60000000004</v>
      </c>
      <c r="O66" s="54" t="n">
        <f aca="false">SUM('Ablesewerte Strom'!O62-'Ablesewerte Strom'!N62)</f>
        <v>3102.19999999995</v>
      </c>
      <c r="Q66" s="54" t="n">
        <f aca="false">SUM(D66:O66)</f>
        <v>25702</v>
      </c>
    </row>
    <row r="67" customFormat="false" ht="12.75" hidden="false" customHeight="false" outlineLevel="0" collapsed="false">
      <c r="A67" s="1" t="s">
        <v>28</v>
      </c>
      <c r="D67" s="54" t="n">
        <f aca="false">SUM('Ablesewerte Strom'!D63-'Ablesewerte Strom'!C63)</f>
        <v>1704.09999999998</v>
      </c>
      <c r="E67" s="54" t="n">
        <f aca="false">SUM('Ablesewerte Strom'!E63-'Ablesewerte Strom'!D63)</f>
        <v>1805.20000000001</v>
      </c>
      <c r="F67" s="54" t="n">
        <f aca="false">SUM('Ablesewerte Strom'!F63-'Ablesewerte Strom'!E63)</f>
        <v>1591</v>
      </c>
      <c r="G67" s="54" t="n">
        <f aca="false">SUM('Ablesewerte Strom'!G63-'Ablesewerte Strom'!F63)</f>
        <v>1334.20000000001</v>
      </c>
      <c r="H67" s="54" t="n">
        <f aca="false">SUM('Ablesewerte Strom'!H63-'Ablesewerte Strom'!G63)</f>
        <v>1036</v>
      </c>
      <c r="I67" s="54" t="n">
        <f aca="false">SUM('Ablesewerte Strom'!I63-'Ablesewerte Strom'!H63)</f>
        <v>1059.19999999998</v>
      </c>
      <c r="J67" s="54" t="n">
        <f aca="false">SUM('Ablesewerte Strom'!J63-'Ablesewerte Strom'!I63)</f>
        <v>1112.10000000001</v>
      </c>
      <c r="K67" s="54" t="n">
        <f aca="false">SUM('Ablesewerte Strom'!K63-'Ablesewerte Strom'!J63)</f>
        <v>913.400000000023</v>
      </c>
      <c r="L67" s="54" t="n">
        <f aca="false">SUM('Ablesewerte Strom'!L63-'Ablesewerte Strom'!K63)</f>
        <v>1169</v>
      </c>
      <c r="M67" s="54" t="n">
        <f aca="false">SUM('Ablesewerte Strom'!M63-'Ablesewerte Strom'!L63)</f>
        <v>1665.59999999998</v>
      </c>
      <c r="N67" s="54" t="n">
        <f aca="false">SUM('Ablesewerte Strom'!N63-'Ablesewerte Strom'!M63)</f>
        <v>1826.40000000002</v>
      </c>
      <c r="O67" s="54" t="n">
        <f aca="false">SUM('Ablesewerte Strom'!O63-'Ablesewerte Strom'!N63)</f>
        <v>2337</v>
      </c>
      <c r="Q67" s="54" t="n">
        <f aca="false">SUM(D67:O67)</f>
        <v>17553.2</v>
      </c>
    </row>
    <row r="68" customFormat="false" ht="12.75" hidden="false" customHeight="false" outlineLevel="0" collapsed="false">
      <c r="A68" s="1" t="s">
        <v>29</v>
      </c>
      <c r="D68" s="54" t="n">
        <f aca="false">SUM('Ablesewerte Strom'!D64-'Ablesewerte Strom'!C64)</f>
        <v>42.5999999999985</v>
      </c>
      <c r="E68" s="54" t="n">
        <f aca="false">SUM('Ablesewerte Strom'!E64-'Ablesewerte Strom'!D64)</f>
        <v>43</v>
      </c>
      <c r="F68" s="54" t="n">
        <f aca="false">SUM('Ablesewerte Strom'!F64-'Ablesewerte Strom'!E64)</f>
        <v>25.9000000000015</v>
      </c>
      <c r="G68" s="54" t="n">
        <f aca="false">SUM('Ablesewerte Strom'!G64-'Ablesewerte Strom'!F64)</f>
        <v>7</v>
      </c>
      <c r="H68" s="54" t="n">
        <f aca="false">SUM('Ablesewerte Strom'!H64-'Ablesewerte Strom'!G64)</f>
        <v>10.6999999999971</v>
      </c>
      <c r="I68" s="54" t="n">
        <f aca="false">SUM('Ablesewerte Strom'!I64-'Ablesewerte Strom'!H64)</f>
        <v>19</v>
      </c>
      <c r="J68" s="54" t="n">
        <f aca="false">SUM('Ablesewerte Strom'!J64-'Ablesewerte Strom'!I64)</f>
        <v>8.80000000000291</v>
      </c>
      <c r="K68" s="54" t="n">
        <f aca="false">SUM('Ablesewerte Strom'!K64-'Ablesewerte Strom'!J64)</f>
        <v>0</v>
      </c>
      <c r="L68" s="54" t="n">
        <f aca="false">SUM('Ablesewerte Strom'!L64-'Ablesewerte Strom'!K64)</f>
        <v>1.09999999999854</v>
      </c>
      <c r="M68" s="54" t="n">
        <f aca="false">SUM('Ablesewerte Strom'!M64-'Ablesewerte Strom'!L64)</f>
        <v>65</v>
      </c>
      <c r="N68" s="54" t="n">
        <f aca="false">SUM('Ablesewerte Strom'!N64-'Ablesewerte Strom'!M64)</f>
        <v>21.9000000000015</v>
      </c>
      <c r="O68" s="54" t="n">
        <f aca="false">SUM('Ablesewerte Strom'!O64-'Ablesewerte Strom'!N64)</f>
        <v>497.099999999999</v>
      </c>
      <c r="Q68" s="54" t="n">
        <f aca="false">SUM(D68:O68)</f>
        <v>742.099999999999</v>
      </c>
    </row>
    <row r="69" customFormat="false" ht="12.75" hidden="false" customHeight="false" outlineLevel="0" collapsed="false">
      <c r="A69" s="1" t="s">
        <v>30</v>
      </c>
      <c r="D69" s="54" t="n">
        <f aca="false">SUM('Ablesewerte Strom'!D65-'Ablesewerte Strom'!C65)</f>
        <v>46.5</v>
      </c>
      <c r="E69" s="54" t="n">
        <f aca="false">SUM('Ablesewerte Strom'!E65-'Ablesewerte Strom'!D65)</f>
        <v>50.4000000000015</v>
      </c>
      <c r="F69" s="54" t="n">
        <f aca="false">SUM('Ablesewerte Strom'!F65-'Ablesewerte Strom'!E65)</f>
        <v>49.2000000000044</v>
      </c>
      <c r="G69" s="54" t="n">
        <f aca="false">SUM('Ablesewerte Strom'!G65-'Ablesewerte Strom'!F65)</f>
        <v>62.5999999999985</v>
      </c>
      <c r="H69" s="54" t="n">
        <f aca="false">SUM('Ablesewerte Strom'!H65-'Ablesewerte Strom'!G65)</f>
        <v>40.2999999999956</v>
      </c>
      <c r="I69" s="54" t="n">
        <f aca="false">SUM('Ablesewerte Strom'!I65-'Ablesewerte Strom'!H65)</f>
        <v>41.4000000000015</v>
      </c>
      <c r="J69" s="54" t="n">
        <f aca="false">SUM('Ablesewerte Strom'!J65-'Ablesewerte Strom'!I65)</f>
        <v>34.9000000000015</v>
      </c>
      <c r="K69" s="54" t="n">
        <f aca="false">SUM('Ablesewerte Strom'!K65-'Ablesewerte Strom'!J65)</f>
        <v>39.4000000000015</v>
      </c>
      <c r="L69" s="54" t="n">
        <f aca="false">SUM('Ablesewerte Strom'!L65-'Ablesewerte Strom'!K65)</f>
        <v>41.6999999999971</v>
      </c>
      <c r="M69" s="54" t="n">
        <f aca="false">SUM('Ablesewerte Strom'!M65-'Ablesewerte Strom'!L65)</f>
        <v>80.0999999999985</v>
      </c>
      <c r="N69" s="54" t="n">
        <f aca="false">SUM('Ablesewerte Strom'!N65-'Ablesewerte Strom'!M65)</f>
        <v>49.6000000000058</v>
      </c>
      <c r="O69" s="54" t="n">
        <f aca="false">SUM('Ablesewerte Strom'!O65-'Ablesewerte Strom'!N65)</f>
        <v>57.8999999999942</v>
      </c>
      <c r="Q69" s="54" t="n">
        <f aca="false">SUM(D69:O69)</f>
        <v>594</v>
      </c>
    </row>
    <row r="70" customFormat="false" ht="12.75" hidden="false" customHeight="false" outlineLevel="0" collapsed="false">
      <c r="A70" s="1" t="s">
        <v>31</v>
      </c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</row>
    <row r="71" customFormat="false" ht="12.75" hidden="false" customHeight="false" outlineLevel="0" collapsed="false"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Q71" s="54" t="n">
        <f aca="false">SUM(D70:O71)</f>
        <v>0</v>
      </c>
    </row>
    <row r="72" customFormat="false" ht="12.75" hidden="false" customHeight="false" outlineLevel="0" collapsed="false">
      <c r="A72" s="1" t="s">
        <v>48</v>
      </c>
      <c r="D72" s="54" t="n">
        <f aca="false">SUM('Ablesewerte Strom'!D67-'Ablesewerte Strom'!C67)</f>
        <v>61.0200000000004</v>
      </c>
      <c r="E72" s="54" t="n">
        <f aca="false">SUM('Ablesewerte Strom'!E67-'Ablesewerte Strom'!D67)</f>
        <v>57.3599999999997</v>
      </c>
      <c r="F72" s="54" t="n">
        <f aca="false">SUM('Ablesewerte Strom'!F67-'Ablesewerte Strom'!E67)</f>
        <v>68.9399999999996</v>
      </c>
      <c r="G72" s="54" t="n">
        <f aca="false">SUM('Ablesewerte Strom'!G67-'Ablesewerte Strom'!F67)</f>
        <v>62.8000000000002</v>
      </c>
      <c r="H72" s="54" t="n">
        <f aca="false">SUM('Ablesewerte Strom'!H67-'Ablesewerte Strom'!G67)</f>
        <v>47.9000000000005</v>
      </c>
      <c r="I72" s="54" t="n">
        <f aca="false">SUM('Ablesewerte Strom'!I67-'Ablesewerte Strom'!H67)</f>
        <v>64.2799999999998</v>
      </c>
      <c r="J72" s="54" t="n">
        <f aca="false">SUM('Ablesewerte Strom'!J67-'Ablesewerte Strom'!I67)</f>
        <v>64.2399999999998</v>
      </c>
      <c r="K72" s="54" t="n">
        <f aca="false">SUM('Ablesewerte Strom'!K67-'Ablesewerte Strom'!J67)</f>
        <v>59.3000000000002</v>
      </c>
      <c r="L72" s="54" t="n">
        <f aca="false">SUM('Ablesewerte Strom'!L67-'Ablesewerte Strom'!K67)</f>
        <v>56.1999999999998</v>
      </c>
      <c r="M72" s="54" t="n">
        <f aca="false">SUM('Ablesewerte Strom'!M67-'Ablesewerte Strom'!L67)</f>
        <v>81.0699999999997</v>
      </c>
      <c r="N72" s="54" t="n">
        <f aca="false">SUM('Ablesewerte Strom'!N67-'Ablesewerte Strom'!M67)</f>
        <v>68.8500000000004</v>
      </c>
      <c r="O72" s="54" t="n">
        <f aca="false">SUM('Ablesewerte Strom'!O67-'Ablesewerte Strom'!N67)</f>
        <v>71.9099999999999</v>
      </c>
      <c r="P72" s="54" t="n">
        <f aca="false">SUM(D72:O72)</f>
        <v>763.87</v>
      </c>
    </row>
    <row r="73" customFormat="false" ht="12.75" hidden="false" customHeight="false" outlineLevel="0" collapsed="false">
      <c r="A73" s="1" t="s">
        <v>49</v>
      </c>
      <c r="D73" s="54" t="n">
        <f aca="false">SUM('Ablesewerte Strom'!D68-'Ablesewerte Strom'!C68)</f>
        <v>29.6900000000001</v>
      </c>
      <c r="E73" s="54" t="n">
        <f aca="false">SUM('Ablesewerte Strom'!E68-'Ablesewerte Strom'!D68)</f>
        <v>26.73</v>
      </c>
      <c r="F73" s="54" t="n">
        <f aca="false">SUM('Ablesewerte Strom'!F68-'Ablesewerte Strom'!E68)</f>
        <v>28.0999999999999</v>
      </c>
      <c r="G73" s="54" t="n">
        <f aca="false">SUM('Ablesewerte Strom'!G68-'Ablesewerte Strom'!F68)</f>
        <v>24.9000000000001</v>
      </c>
      <c r="H73" s="54" t="n">
        <f aca="false">SUM('Ablesewerte Strom'!H68-'Ablesewerte Strom'!G68)</f>
        <v>21.4000000000001</v>
      </c>
      <c r="I73" s="54" t="n">
        <f aca="false">SUM('Ablesewerte Strom'!I68-'Ablesewerte Strom'!H68)</f>
        <v>25.5999999999999</v>
      </c>
      <c r="J73" s="54" t="n">
        <f aca="false">SUM('Ablesewerte Strom'!J68-'Ablesewerte Strom'!I68)</f>
        <v>26.0100000000002</v>
      </c>
      <c r="K73" s="54" t="n">
        <f aca="false">SUM('Ablesewerte Strom'!K68-'Ablesewerte Strom'!J68)</f>
        <v>15.3199999999997</v>
      </c>
      <c r="L73" s="54" t="n">
        <f aca="false">SUM('Ablesewerte Strom'!L68-'Ablesewerte Strom'!K68)</f>
        <v>28.1500000000001</v>
      </c>
      <c r="M73" s="54" t="n">
        <f aca="false">SUM('Ablesewerte Strom'!M68-'Ablesewerte Strom'!L68)</f>
        <v>34.4500000000003</v>
      </c>
      <c r="N73" s="54" t="n">
        <f aca="false">SUM('Ablesewerte Strom'!N68-'Ablesewerte Strom'!M68)</f>
        <v>31.4499999999998</v>
      </c>
      <c r="O73" s="54" t="n">
        <f aca="false">SUM('Ablesewerte Strom'!O68-'Ablesewerte Strom'!N68)</f>
        <v>31.5700000000002</v>
      </c>
      <c r="P73" s="54" t="n">
        <f aca="false">SUM(D73:O73)</f>
        <v>323.37</v>
      </c>
    </row>
    <row r="74" customFormat="false" ht="12.75" hidden="false" customHeight="false" outlineLevel="0" collapsed="false">
      <c r="A74" s="1" t="s">
        <v>50</v>
      </c>
      <c r="D74" s="54" t="n">
        <f aca="false">SUM('Ablesewerte Strom'!D69-'Ablesewerte Strom'!C69)</f>
        <v>932.7</v>
      </c>
      <c r="E74" s="54" t="n">
        <f aca="false">SUM('Ablesewerte Strom'!E69-'Ablesewerte Strom'!D69)</f>
        <v>871.9</v>
      </c>
      <c r="F74" s="54" t="n">
        <f aca="false">SUM('Ablesewerte Strom'!F69-'Ablesewerte Strom'!E69)</f>
        <v>842.7</v>
      </c>
      <c r="G74" s="54" t="n">
        <f aca="false">SUM('Ablesewerte Strom'!G69-'Ablesewerte Strom'!F69)</f>
        <v>672.8</v>
      </c>
      <c r="H74" s="54" t="n">
        <f aca="false">SUM('Ablesewerte Strom'!H69-'Ablesewerte Strom'!G69)</f>
        <v>549.5</v>
      </c>
      <c r="I74" s="54" t="n">
        <f aca="false">SUM('Ablesewerte Strom'!I69-'Ablesewerte Strom'!H69)</f>
        <v>679.8</v>
      </c>
      <c r="J74" s="54" t="n">
        <f aca="false">SUM('Ablesewerte Strom'!J69-'Ablesewerte Strom'!I69)</f>
        <v>516</v>
      </c>
      <c r="K74" s="54" t="n">
        <f aca="false">SUM('Ablesewerte Strom'!K69-'Ablesewerte Strom'!J69)</f>
        <v>393.7</v>
      </c>
      <c r="L74" s="54" t="n">
        <f aca="false">SUM('Ablesewerte Strom'!L69-'Ablesewerte Strom'!K69)</f>
        <v>723.4</v>
      </c>
      <c r="M74" s="54" t="n">
        <f aca="false">SUM('Ablesewerte Strom'!M69-'Ablesewerte Strom'!L69)</f>
        <v>1043.4</v>
      </c>
      <c r="N74" s="54" t="n">
        <f aca="false">SUM('Ablesewerte Strom'!N69-'Ablesewerte Strom'!M69)</f>
        <v>975.4</v>
      </c>
      <c r="O74" s="54" t="n">
        <f aca="false">SUM('Ablesewerte Strom'!O69-'Ablesewerte Strom'!N69)</f>
        <v>1121.9</v>
      </c>
      <c r="P74" s="54" t="n">
        <f aca="false">SUM(D74:O74)</f>
        <v>9323.2</v>
      </c>
    </row>
    <row r="75" customFormat="false" ht="12.75" hidden="false" customHeight="false" outlineLevel="0" collapsed="false">
      <c r="A75" s="1" t="s">
        <v>39</v>
      </c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</row>
    <row r="76" customFormat="false" ht="12.75" hidden="false" customHeight="false" outlineLevel="0" collapsed="false"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Q76" s="54" t="n">
        <f aca="false">SUM(D75:O76)</f>
        <v>0</v>
      </c>
    </row>
    <row r="77" customFormat="false" ht="12.75" hidden="false" customHeight="false" outlineLevel="0" collapsed="false">
      <c r="A77" s="1" t="s">
        <v>53</v>
      </c>
      <c r="D77" s="54" t="n">
        <f aca="false">SUM('Ablesewerte Strom'!D73-'Ablesewerte Strom'!C73)</f>
        <v>706.5</v>
      </c>
      <c r="E77" s="54" t="n">
        <f aca="false">SUM('Ablesewerte Strom'!E73-'Ablesewerte Strom'!D73)</f>
        <v>807.600000000006</v>
      </c>
      <c r="F77" s="54" t="n">
        <f aca="false">SUM('Ablesewerte Strom'!F73-'Ablesewerte Strom'!E73)</f>
        <v>877</v>
      </c>
      <c r="G77" s="54" t="n">
        <f aca="false">SUM('Ablesewerte Strom'!G73-'Ablesewerte Strom'!F73)</f>
        <v>925.099999999991</v>
      </c>
      <c r="H77" s="54" t="n">
        <f aca="false">SUM('Ablesewerte Strom'!H73-'Ablesewerte Strom'!G73)</f>
        <v>610.600000000006</v>
      </c>
      <c r="I77" s="54" t="n">
        <f aca="false">SUM('Ablesewerte Strom'!I73-'Ablesewerte Strom'!H73)</f>
        <v>628.599999999991</v>
      </c>
      <c r="J77" s="54" t="n">
        <f aca="false">SUM('Ablesewerte Strom'!J73-'Ablesewerte Strom'!I73)</f>
        <v>625.200000000012</v>
      </c>
      <c r="K77" s="54" t="n">
        <f aca="false">SUM('Ablesewerte Strom'!K73-'Ablesewerte Strom'!J73)</f>
        <v>241.399999999994</v>
      </c>
      <c r="L77" s="54" t="n">
        <f aca="false">SUM('Ablesewerte Strom'!L73-'Ablesewerte Strom'!K73)</f>
        <v>625.5</v>
      </c>
      <c r="M77" s="54" t="n">
        <f aca="false">SUM('Ablesewerte Strom'!M73-'Ablesewerte Strom'!L73)</f>
        <v>729.700000000012</v>
      </c>
      <c r="N77" s="54" t="n">
        <f aca="false">SUM('Ablesewerte Strom'!N73-'Ablesewerte Strom'!M73)</f>
        <v>778.299999999988</v>
      </c>
      <c r="O77" s="54" t="n">
        <f aca="false">SUM('Ablesewerte Strom'!O73-'Ablesewerte Strom'!N73)</f>
        <v>819</v>
      </c>
      <c r="P77" s="54" t="n">
        <f aca="false">SUM(D77:O77)</f>
        <v>8374.5</v>
      </c>
      <c r="Q77" s="1" t="s">
        <v>54</v>
      </c>
      <c r="R77" s="81" t="n">
        <f aca="false">SUM(Q66:Q76)</f>
        <v>44591.3</v>
      </c>
    </row>
    <row r="78" customFormat="false" ht="12.75" hidden="false" customHeight="false" outlineLevel="0" collapsed="false">
      <c r="A78" s="82" t="s">
        <v>41</v>
      </c>
      <c r="B78" s="23"/>
      <c r="C78" s="24"/>
      <c r="D78" s="54" t="n">
        <f aca="false">SUM('Ablesewerte Strom'!D74-'Ablesewerte Strom'!C74)</f>
        <v>25773</v>
      </c>
      <c r="E78" s="54" t="n">
        <f aca="false">SUM('Ablesewerte Strom'!E74-'Ablesewerte Strom'!D74)</f>
        <v>22688</v>
      </c>
      <c r="F78" s="54" t="n">
        <f aca="false">SUM('Ablesewerte Strom'!F74-'Ablesewerte Strom'!E74)</f>
        <v>20685</v>
      </c>
      <c r="G78" s="54" t="n">
        <f aca="false">SUM('Ablesewerte Strom'!G74-'Ablesewerte Strom'!F74)</f>
        <v>13394</v>
      </c>
      <c r="H78" s="54" t="n">
        <f aca="false">SUM('Ablesewerte Strom'!H74-'Ablesewerte Strom'!G74)</f>
        <v>6852</v>
      </c>
      <c r="I78" s="54" t="n">
        <f aca="false">SUM('Ablesewerte Strom'!I74-'Ablesewerte Strom'!H74)</f>
        <v>7749</v>
      </c>
      <c r="J78" s="54" t="n">
        <f aca="false">SUM('Ablesewerte Strom'!J74-'Ablesewerte Strom'!I74)</f>
        <v>5366</v>
      </c>
      <c r="K78" s="54" t="n">
        <f aca="false">SUM('Ablesewerte Strom'!K74-'Ablesewerte Strom'!J74)</f>
        <v>1779</v>
      </c>
      <c r="L78" s="54" t="n">
        <f aca="false">SUM('Ablesewerte Strom'!L74-'Ablesewerte Strom'!K74)</f>
        <v>13824</v>
      </c>
      <c r="M78" s="54" t="n">
        <f aca="false">SUM('Ablesewerte Strom'!M74-'Ablesewerte Strom'!L74)</f>
        <v>21427</v>
      </c>
      <c r="N78" s="54" t="n">
        <f aca="false">SUM('Ablesewerte Strom'!N74-'Ablesewerte Strom'!M74)</f>
        <v>19536</v>
      </c>
      <c r="O78" s="54" t="n">
        <f aca="false">SUM('Ablesewerte Strom'!O74-'Ablesewerte Strom'!N74)</f>
        <v>29067</v>
      </c>
      <c r="P78" s="23"/>
      <c r="Q78" s="23"/>
      <c r="R78" s="23"/>
    </row>
    <row r="79" customFormat="false" ht="13.8" hidden="false" customHeight="false" outlineLevel="0" collapsed="false">
      <c r="A79" s="83" t="s">
        <v>42</v>
      </c>
      <c r="B79" s="23"/>
      <c r="C79" s="24"/>
      <c r="D79" s="54" t="n">
        <f aca="false">SUM('Ablesewerte Strom'!D75-'Ablesewerte Strom'!C75)</f>
        <v>67.7</v>
      </c>
      <c r="E79" s="54" t="n">
        <f aca="false">SUM('Ablesewerte Strom'!E75-'Ablesewerte Strom'!D75)</f>
        <v>84.9</v>
      </c>
      <c r="F79" s="54" t="n">
        <f aca="false">SUM('Ablesewerte Strom'!F75-'Ablesewerte Strom'!E75)</f>
        <v>50.1</v>
      </c>
      <c r="G79" s="54" t="n">
        <f aca="false">SUM('Ablesewerte Strom'!G75-'Ablesewerte Strom'!F75)</f>
        <v>51</v>
      </c>
      <c r="H79" s="54" t="n">
        <f aca="false">SUM('Ablesewerte Strom'!H75-'Ablesewerte Strom'!G75)</f>
        <v>32.6</v>
      </c>
      <c r="I79" s="54" t="n">
        <f aca="false">SUM('Ablesewerte Strom'!I75-'Ablesewerte Strom'!H75)</f>
        <v>33.4</v>
      </c>
      <c r="J79" s="54" t="n">
        <f aca="false">SUM('Ablesewerte Strom'!J75-'Ablesewerte Strom'!I75)</f>
        <v>24.9</v>
      </c>
      <c r="K79" s="54" t="n">
        <f aca="false">SUM('Ablesewerte Strom'!K75-'Ablesewerte Strom'!J75)</f>
        <v>11.3000000000001</v>
      </c>
      <c r="L79" s="54" t="n">
        <f aca="false">SUM('Ablesewerte Strom'!L75-'Ablesewerte Strom'!K75)</f>
        <v>57</v>
      </c>
      <c r="M79" s="54" t="n">
        <f aca="false">SUM('Ablesewerte Strom'!M75-'Ablesewerte Strom'!L75)</f>
        <v>63.5999999999999</v>
      </c>
      <c r="N79" s="54" t="n">
        <f aca="false">SUM('Ablesewerte Strom'!N75-'Ablesewerte Strom'!M75)</f>
        <v>53.1</v>
      </c>
      <c r="O79" s="54" t="n">
        <f aca="false">SUM('Ablesewerte Strom'!O75-'Ablesewerte Strom'!N75)</f>
        <v>122.1</v>
      </c>
      <c r="P79" s="23"/>
      <c r="Q79" s="23"/>
      <c r="R79" s="23"/>
    </row>
    <row r="80" customFormat="false" ht="12.75" hidden="false" customHeight="false" outlineLevel="0" collapsed="false">
      <c r="A80" s="82" t="s">
        <v>43</v>
      </c>
      <c r="B80" s="23"/>
      <c r="C80" s="23"/>
      <c r="D80" s="54" t="n">
        <f aca="false">SUM('Ablesewerte Strom'!D76-'Ablesewerte Strom'!C76)</f>
        <v>539</v>
      </c>
      <c r="E80" s="54" t="n">
        <f aca="false">SUM('Ablesewerte Strom'!E76-'Ablesewerte Strom'!D76)</f>
        <v>1538</v>
      </c>
      <c r="F80" s="54" t="n">
        <f aca="false">SUM('Ablesewerte Strom'!F76-'Ablesewerte Strom'!E76)</f>
        <v>3054</v>
      </c>
      <c r="G80" s="54" t="n">
        <f aca="false">SUM('Ablesewerte Strom'!G76-'Ablesewerte Strom'!F76)</f>
        <v>4523</v>
      </c>
      <c r="H80" s="54" t="n">
        <f aca="false">SUM('Ablesewerte Strom'!H76-'Ablesewerte Strom'!G76)</f>
        <v>3694</v>
      </c>
      <c r="I80" s="54" t="n">
        <f aca="false">SUM('Ablesewerte Strom'!I76-'Ablesewerte Strom'!H76)</f>
        <v>3956</v>
      </c>
      <c r="J80" s="54" t="n">
        <f aca="false">SUM('Ablesewerte Strom'!J76-'Ablesewerte Strom'!I76)</f>
        <v>4335</v>
      </c>
      <c r="K80" s="54" t="n">
        <f aca="false">SUM('Ablesewerte Strom'!K76-'Ablesewerte Strom'!J76)</f>
        <v>4107</v>
      </c>
      <c r="L80" s="54" t="n">
        <f aca="false">SUM('Ablesewerte Strom'!L76-'Ablesewerte Strom'!K76)</f>
        <v>2701</v>
      </c>
      <c r="M80" s="54" t="n">
        <f aca="false">SUM('Ablesewerte Strom'!M76-'Ablesewerte Strom'!L76)</f>
        <v>1720</v>
      </c>
      <c r="N80" s="54" t="n">
        <f aca="false">SUM('Ablesewerte Strom'!N76-'Ablesewerte Strom'!M76)</f>
        <v>1076</v>
      </c>
      <c r="O80" s="54" t="n">
        <f aca="false">SUM('Ablesewerte Strom'!O76-'Ablesewerte Strom'!N76)</f>
        <v>1381</v>
      </c>
      <c r="P80" s="23"/>
      <c r="Q80" s="23"/>
      <c r="R80" s="23"/>
    </row>
    <row r="82" customFormat="false" ht="15" hidden="false" customHeight="false" outlineLevel="0" collapsed="false">
      <c r="A82" s="2" t="n">
        <v>2016</v>
      </c>
    </row>
    <row r="83" customFormat="false" ht="15" hidden="false" customHeight="false" outlineLevel="0" collapsed="false">
      <c r="A83" s="2" t="s">
        <v>23</v>
      </c>
      <c r="D83" s="79" t="s">
        <v>2</v>
      </c>
      <c r="E83" s="79" t="s">
        <v>3</v>
      </c>
      <c r="F83" s="79" t="s">
        <v>4</v>
      </c>
      <c r="G83" s="79" t="s">
        <v>5</v>
      </c>
      <c r="H83" s="79" t="s">
        <v>6</v>
      </c>
      <c r="I83" s="79" t="s">
        <v>7</v>
      </c>
      <c r="J83" s="79" t="s">
        <v>8</v>
      </c>
      <c r="K83" s="79" t="s">
        <v>9</v>
      </c>
      <c r="L83" s="79" t="s">
        <v>10</v>
      </c>
      <c r="M83" s="79" t="s">
        <v>11</v>
      </c>
      <c r="N83" s="79" t="s">
        <v>12</v>
      </c>
      <c r="O83" s="79" t="s">
        <v>13</v>
      </c>
    </row>
    <row r="85" customFormat="false" ht="12.75" hidden="false" customHeight="false" outlineLevel="0" collapsed="false">
      <c r="A85" s="1" t="s">
        <v>27</v>
      </c>
      <c r="D85" s="54" t="n">
        <f aca="false">SUM('Ablesewerte Strom'!D83-'Ablesewerte Strom'!C83)</f>
        <v>2034.10000000004</v>
      </c>
      <c r="E85" s="54" t="n">
        <f aca="false">SUM('Ablesewerte Strom'!E83-'Ablesewerte Strom'!D83)</f>
        <v>2282.59999999998</v>
      </c>
      <c r="F85" s="54" t="n">
        <f aca="false">SUM('Ablesewerte Strom'!F83-'Ablesewerte Strom'!E83)</f>
        <v>2230.90000000002</v>
      </c>
      <c r="G85" s="54" t="n">
        <f aca="false">SUM('Ablesewerte Strom'!G83-'Ablesewerte Strom'!F83)</f>
        <v>2143.5</v>
      </c>
      <c r="H85" s="54" t="n">
        <f aca="false">SUM('Ablesewerte Strom'!H83-'Ablesewerte Strom'!G83)</f>
        <v>1698.29999999999</v>
      </c>
      <c r="I85" s="54" t="n">
        <f aca="false">SUM('Ablesewerte Strom'!I83-'Ablesewerte Strom'!H83)</f>
        <v>1878.59999999998</v>
      </c>
      <c r="J85" s="54" t="n">
        <f aca="false">SUM('Ablesewerte Strom'!J83-'Ablesewerte Strom'!I83)</f>
        <v>2301.10000000004</v>
      </c>
      <c r="K85" s="54" t="n">
        <f aca="false">SUM('Ablesewerte Strom'!K83-'Ablesewerte Strom'!J83)</f>
        <v>787</v>
      </c>
      <c r="L85" s="54" t="n">
        <f aca="false">SUM('Ablesewerte Strom'!L83-'Ablesewerte Strom'!K83)</f>
        <v>2151.29999999999</v>
      </c>
      <c r="M85" s="54" t="n">
        <f aca="false">SUM('Ablesewerte Strom'!M83-'Ablesewerte Strom'!L83)</f>
        <v>1957.40000000002</v>
      </c>
      <c r="N85" s="54" t="n">
        <f aca="false">SUM('Ablesewerte Strom'!N83-'Ablesewerte Strom'!M83)</f>
        <v>2572.09999999998</v>
      </c>
      <c r="O85" s="54" t="n">
        <f aca="false">SUM('Ablesewerte Strom'!O83-'Ablesewerte Strom'!N83)</f>
        <v>3460</v>
      </c>
      <c r="Q85" s="54" t="n">
        <f aca="false">SUM(D85:O85)</f>
        <v>25496.9</v>
      </c>
    </row>
    <row r="86" customFormat="false" ht="12.75" hidden="false" customHeight="false" outlineLevel="0" collapsed="false">
      <c r="A86" s="1" t="s">
        <v>28</v>
      </c>
      <c r="D86" s="54" t="n">
        <f aca="false">SUM('Ablesewerte Strom'!D84-'Ablesewerte Strom'!C84)</f>
        <v>1522.59999999998</v>
      </c>
      <c r="E86" s="54" t="n">
        <f aca="false">SUM('Ablesewerte Strom'!E84-'Ablesewerte Strom'!D84)</f>
        <v>1682.40000000002</v>
      </c>
      <c r="F86" s="54" t="n">
        <f aca="false">SUM('Ablesewerte Strom'!F84-'Ablesewerte Strom'!E84)</f>
        <v>1594.69999999995</v>
      </c>
      <c r="G86" s="54" t="n">
        <f aca="false">SUM('Ablesewerte Strom'!G84-'Ablesewerte Strom'!F84)</f>
        <v>1615.5</v>
      </c>
      <c r="H86" s="54" t="n">
        <f aca="false">SUM('Ablesewerte Strom'!H84-'Ablesewerte Strom'!G84)</f>
        <v>1092</v>
      </c>
      <c r="I86" s="54" t="n">
        <f aca="false">SUM('Ablesewerte Strom'!I84-'Ablesewerte Strom'!H84)</f>
        <v>1223.10000000004</v>
      </c>
      <c r="J86" s="54" t="n">
        <f aca="false">SUM('Ablesewerte Strom'!J84-'Ablesewerte Strom'!I84)</f>
        <v>1594.59999999998</v>
      </c>
      <c r="K86" s="54" t="n">
        <f aca="false">SUM('Ablesewerte Strom'!K84-'Ablesewerte Strom'!J84)</f>
        <v>563.200000000012</v>
      </c>
      <c r="L86" s="54" t="n">
        <f aca="false">SUM('Ablesewerte Strom'!L84-'Ablesewerte Strom'!K84)</f>
        <v>1375.29999999999</v>
      </c>
      <c r="M86" s="54" t="n">
        <f aca="false">SUM('Ablesewerte Strom'!M84-'Ablesewerte Strom'!L84)</f>
        <v>1328.20000000001</v>
      </c>
      <c r="N86" s="54" t="n">
        <f aca="false">SUM('Ablesewerte Strom'!N84-'Ablesewerte Strom'!M84)</f>
        <v>1864.20000000001</v>
      </c>
      <c r="O86" s="54" t="n">
        <f aca="false">SUM('Ablesewerte Strom'!O84-'Ablesewerte Strom'!N84)</f>
        <v>2622.79999999999</v>
      </c>
      <c r="Q86" s="54" t="n">
        <f aca="false">SUM(D86:O86)</f>
        <v>18078.6</v>
      </c>
    </row>
    <row r="87" customFormat="false" ht="12.75" hidden="false" customHeight="false" outlineLevel="0" collapsed="false">
      <c r="A87" s="1" t="s">
        <v>29</v>
      </c>
      <c r="D87" s="54" t="n">
        <f aca="false">SUM('Ablesewerte Strom'!D85-'Ablesewerte Strom'!C85)</f>
        <v>335.799999999996</v>
      </c>
      <c r="E87" s="54" t="n">
        <f aca="false">SUM('Ablesewerte Strom'!E85-'Ablesewerte Strom'!D85)</f>
        <v>449.300000000003</v>
      </c>
      <c r="F87" s="54" t="n">
        <f aca="false">SUM('Ablesewerte Strom'!F85-'Ablesewerte Strom'!E85)</f>
        <v>479.300000000003</v>
      </c>
      <c r="G87" s="54" t="n">
        <f aca="false">SUM('Ablesewerte Strom'!G85-'Ablesewerte Strom'!F85)</f>
        <v>443.899999999994</v>
      </c>
      <c r="H87" s="54" t="n">
        <f aca="false">SUM('Ablesewerte Strom'!H85-'Ablesewerte Strom'!G85)</f>
        <v>392.800000000003</v>
      </c>
      <c r="I87" s="54" t="n">
        <f aca="false">SUM('Ablesewerte Strom'!I85-'Ablesewerte Strom'!H85)</f>
        <v>435.900000000001</v>
      </c>
      <c r="J87" s="54" t="n">
        <f aca="false">SUM('Ablesewerte Strom'!J85-'Ablesewerte Strom'!I85)</f>
        <v>798.599999999999</v>
      </c>
      <c r="K87" s="54" t="n">
        <f aca="false">SUM('Ablesewerte Strom'!K85-'Ablesewerte Strom'!J85)</f>
        <v>0</v>
      </c>
      <c r="L87" s="54" t="n">
        <f aca="false">SUM('Ablesewerte Strom'!L85-'Ablesewerte Strom'!K85)</f>
        <v>494.724999999999</v>
      </c>
      <c r="M87" s="54" t="n">
        <f aca="false">SUM('Ablesewerte Strom'!M85-'Ablesewerte Strom'!L85)</f>
        <v>494.724999999999</v>
      </c>
      <c r="N87" s="54" t="n">
        <f aca="false">SUM('Ablesewerte Strom'!N85-'Ablesewerte Strom'!M85)</f>
        <v>494.725000000006</v>
      </c>
      <c r="O87" s="54" t="n">
        <f aca="false">SUM('Ablesewerte Strom'!O85-'Ablesewerte Strom'!N85)</f>
        <v>494.724999999999</v>
      </c>
      <c r="Q87" s="54" t="n">
        <f aca="false">SUM(D87:O87)</f>
        <v>5314.5</v>
      </c>
    </row>
    <row r="88" customFormat="false" ht="12.75" hidden="false" customHeight="false" outlineLevel="0" collapsed="false">
      <c r="A88" s="1" t="s">
        <v>30</v>
      </c>
      <c r="D88" s="54" t="n">
        <f aca="false">SUM('Ablesewerte Strom'!D86-'Ablesewerte Strom'!C86)</f>
        <v>32.2000000000044</v>
      </c>
      <c r="E88" s="54" t="n">
        <f aca="false">SUM('Ablesewerte Strom'!E86-'Ablesewerte Strom'!D86)</f>
        <v>38.1999999999971</v>
      </c>
      <c r="F88" s="54" t="n">
        <f aca="false">SUM('Ablesewerte Strom'!F86-'Ablesewerte Strom'!E86)</f>
        <v>40.0999999999985</v>
      </c>
      <c r="G88" s="54" t="n">
        <f aca="false">SUM('Ablesewerte Strom'!G86-'Ablesewerte Strom'!F86)</f>
        <v>38.1000000000058</v>
      </c>
      <c r="H88" s="54" t="n">
        <f aca="false">SUM('Ablesewerte Strom'!H86-'Ablesewerte Strom'!G86)</f>
        <v>28.0999999999985</v>
      </c>
      <c r="I88" s="54" t="n">
        <f aca="false">SUM('Ablesewerte Strom'!I86-'Ablesewerte Strom'!H86)</f>
        <v>22.5999999999985</v>
      </c>
      <c r="J88" s="54" t="n">
        <f aca="false">SUM('Ablesewerte Strom'!J86-'Ablesewerte Strom'!I86)</f>
        <v>33</v>
      </c>
      <c r="K88" s="54" t="n">
        <f aca="false">SUM('Ablesewerte Strom'!K86-'Ablesewerte Strom'!J86)</f>
        <v>0</v>
      </c>
      <c r="L88" s="54" t="n">
        <f aca="false">SUM('Ablesewerte Strom'!L86-'Ablesewerte Strom'!K86)</f>
        <v>45.3499999999985</v>
      </c>
      <c r="M88" s="54" t="n">
        <f aca="false">SUM('Ablesewerte Strom'!M86-'Ablesewerte Strom'!L86)</f>
        <v>45.3499999999985</v>
      </c>
      <c r="N88" s="54" t="n">
        <f aca="false">SUM('Ablesewerte Strom'!N86-'Ablesewerte Strom'!M86)</f>
        <v>45.3500000000058</v>
      </c>
      <c r="O88" s="54" t="n">
        <f aca="false">SUM('Ablesewerte Strom'!O86-'Ablesewerte Strom'!N86)</f>
        <v>45.3499999999985</v>
      </c>
      <c r="Q88" s="54" t="n">
        <f aca="false">SUM(D88:O88)</f>
        <v>413.700000000004</v>
      </c>
    </row>
    <row r="89" customFormat="false" ht="12.75" hidden="false" customHeight="false" outlineLevel="0" collapsed="false">
      <c r="A89" s="1" t="s">
        <v>31</v>
      </c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</row>
    <row r="90" customFormat="false" ht="12.75" hidden="false" customHeight="false" outlineLevel="0" collapsed="false"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Q90" s="54" t="n">
        <f aca="false">SUM(D89:O90)</f>
        <v>0</v>
      </c>
    </row>
    <row r="91" customFormat="false" ht="12.75" hidden="false" customHeight="false" outlineLevel="0" collapsed="false">
      <c r="A91" s="1" t="s">
        <v>48</v>
      </c>
      <c r="D91" s="54" t="n">
        <f aca="false">SUM('Ablesewerte Strom'!D88-'Ablesewerte Strom'!C88)</f>
        <v>58.3800000000001</v>
      </c>
      <c r="E91" s="54" t="n">
        <f aca="false">SUM('Ablesewerte Strom'!E88-'Ablesewerte Strom'!D88)</f>
        <v>59.8100000000004</v>
      </c>
      <c r="F91" s="54" t="n">
        <f aca="false">SUM('Ablesewerte Strom'!F89-'Ablesewerte Strom'!E89)</f>
        <v>22.7200000000003</v>
      </c>
      <c r="G91" s="54" t="n">
        <f aca="false">SUM('Ablesewerte Strom'!G88-'Ablesewerte Strom'!F88)</f>
        <v>80.8900000000003</v>
      </c>
      <c r="H91" s="54" t="n">
        <f aca="false">SUM('Ablesewerte Strom'!H88-'Ablesewerte Strom'!G88)</f>
        <v>46.8400000000001</v>
      </c>
      <c r="I91" s="54" t="n">
        <f aca="false">SUM('Ablesewerte Strom'!I88-'Ablesewerte Strom'!H88)</f>
        <v>80.9799999999996</v>
      </c>
      <c r="J91" s="54" t="n">
        <f aca="false">SUM('Ablesewerte Strom'!J88-'Ablesewerte Strom'!I88)</f>
        <v>112.31</v>
      </c>
      <c r="K91" s="54" t="n">
        <f aca="false">SUM('Ablesewerte Strom'!K88-'Ablesewerte Strom'!J88)</f>
        <v>14.7099999999991</v>
      </c>
      <c r="L91" s="54" t="n">
        <f aca="false">SUM('Ablesewerte Strom'!L88-'Ablesewerte Strom'!K88)</f>
        <v>69.1400000000012</v>
      </c>
      <c r="M91" s="54" t="n">
        <f aca="false">SUM('Ablesewerte Strom'!M88-'Ablesewerte Strom'!L88)</f>
        <v>61.4599999999991</v>
      </c>
      <c r="N91" s="54" t="n">
        <f aca="false">SUM('Ablesewerte Strom'!N88-'Ablesewerte Strom'!M88)</f>
        <v>67.7600000000002</v>
      </c>
      <c r="O91" s="54" t="n">
        <f aca="false">SUM('Ablesewerte Strom'!O88-'Ablesewerte Strom'!N88)</f>
        <v>68.1100000000006</v>
      </c>
      <c r="P91" s="54" t="n">
        <f aca="false">SUM(D91:O91)</f>
        <v>743.110000000002</v>
      </c>
    </row>
    <row r="92" customFormat="false" ht="12.75" hidden="false" customHeight="false" outlineLevel="0" collapsed="false">
      <c r="A92" s="1" t="s">
        <v>49</v>
      </c>
      <c r="D92" s="54" t="n">
        <f aca="false">SUM('Ablesewerte Strom'!D89-'Ablesewerte Strom'!C89)</f>
        <v>22.9499999999998</v>
      </c>
      <c r="E92" s="54" t="n">
        <f aca="false">SUM('Ablesewerte Strom'!E89-'Ablesewerte Strom'!D89)</f>
        <v>23.9499999999998</v>
      </c>
      <c r="F92" s="54" t="n">
        <f aca="false">SUM('Ablesewerte Strom'!F90-'Ablesewerte Strom'!E90)</f>
        <v>812.200000000001</v>
      </c>
      <c r="G92" s="54" t="n">
        <f aca="false">SUM('Ablesewerte Strom'!G89-'Ablesewerte Strom'!F89)</f>
        <v>25.4200000000001</v>
      </c>
      <c r="H92" s="54" t="n">
        <f aca="false">SUM('Ablesewerte Strom'!H89-'Ablesewerte Strom'!G89)</f>
        <v>15.25</v>
      </c>
      <c r="I92" s="54" t="n">
        <f aca="false">SUM('Ablesewerte Strom'!I89-'Ablesewerte Strom'!H89)</f>
        <v>24.5</v>
      </c>
      <c r="J92" s="54" t="n">
        <f aca="false">SUM('Ablesewerte Strom'!J89-'Ablesewerte Strom'!I89)</f>
        <v>27.48</v>
      </c>
      <c r="K92" s="54" t="n">
        <f aca="false">SUM('Ablesewerte Strom'!K89-'Ablesewerte Strom'!J89)</f>
        <v>5.39999999999964</v>
      </c>
      <c r="L92" s="54" t="n">
        <f aca="false">SUM('Ablesewerte Strom'!L89-'Ablesewerte Strom'!K89)</f>
        <v>27.27</v>
      </c>
      <c r="M92" s="54" t="n">
        <f aca="false">SUM('Ablesewerte Strom'!M89-'Ablesewerte Strom'!L89)</f>
        <v>22.1200000000003</v>
      </c>
      <c r="N92" s="54" t="n">
        <f aca="false">SUM('Ablesewerte Strom'!N89-'Ablesewerte Strom'!M89)</f>
        <v>29.29</v>
      </c>
      <c r="O92" s="54" t="n">
        <f aca="false">SUM('Ablesewerte Strom'!O89-'Ablesewerte Strom'!N89)</f>
        <v>30.6999999999998</v>
      </c>
      <c r="P92" s="54" t="n">
        <f aca="false">SUM(D92:O92)</f>
        <v>1066.53</v>
      </c>
    </row>
    <row r="93" customFormat="false" ht="12.75" hidden="false" customHeight="false" outlineLevel="0" collapsed="false">
      <c r="A93" s="1" t="s">
        <v>50</v>
      </c>
      <c r="D93" s="54" t="n">
        <f aca="false">SUM('Ablesewerte Strom'!D90-'Ablesewerte Strom'!C90)</f>
        <v>870.1</v>
      </c>
      <c r="E93" s="54" t="n">
        <f aca="false">SUM('Ablesewerte Strom'!E90-'Ablesewerte Strom'!D90)</f>
        <v>960.299999999999</v>
      </c>
      <c r="F93" s="54" t="n">
        <f aca="false">SUM('Ablesewerte Strom'!F91-'Ablesewerte Strom'!E91)</f>
        <v>0</v>
      </c>
      <c r="G93" s="54" t="n">
        <f aca="false">SUM('Ablesewerte Strom'!G90-'Ablesewerte Strom'!F90)</f>
        <v>921.200000000001</v>
      </c>
      <c r="H93" s="54" t="n">
        <f aca="false">SUM('Ablesewerte Strom'!H90-'Ablesewerte Strom'!G90)</f>
        <v>526.699999999999</v>
      </c>
      <c r="I93" s="54" t="n">
        <f aca="false">SUM('Ablesewerte Strom'!I90-'Ablesewerte Strom'!H90)</f>
        <v>770.800000000001</v>
      </c>
      <c r="J93" s="54" t="n">
        <f aca="false">SUM('Ablesewerte Strom'!J90-'Ablesewerte Strom'!I90)</f>
        <v>745.5</v>
      </c>
      <c r="K93" s="54" t="n">
        <f aca="false">SUM('Ablesewerte Strom'!K90-'Ablesewerte Strom'!J90)</f>
        <v>209.199999999999</v>
      </c>
      <c r="L93" s="54" t="n">
        <f aca="false">SUM('Ablesewerte Strom'!L90-'Ablesewerte Strom'!K90)</f>
        <v>833.300000000001</v>
      </c>
      <c r="M93" s="54" t="n">
        <f aca="false">SUM('Ablesewerte Strom'!M90-'Ablesewerte Strom'!L90)</f>
        <v>797.200000000001</v>
      </c>
      <c r="N93" s="54" t="n">
        <f aca="false">SUM('Ablesewerte Strom'!N90-'Ablesewerte Strom'!M90)</f>
        <v>1017.4</v>
      </c>
      <c r="O93" s="54" t="n">
        <f aca="false">SUM('Ablesewerte Strom'!O90-'Ablesewerte Strom'!N90)</f>
        <v>1137.5</v>
      </c>
      <c r="P93" s="54" t="n">
        <f aca="false">SUM(D93:O93)</f>
        <v>8789.2</v>
      </c>
    </row>
    <row r="94" customFormat="false" ht="12.75" hidden="false" customHeight="false" outlineLevel="0" collapsed="false">
      <c r="A94" s="1" t="s">
        <v>39</v>
      </c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</row>
    <row r="95" customFormat="false" ht="12.75" hidden="false" customHeight="false" outlineLevel="0" collapsed="false"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Q95" s="54" t="n">
        <f aca="false">SUM(D94:O95)</f>
        <v>0</v>
      </c>
    </row>
    <row r="96" customFormat="false" ht="12.75" hidden="false" customHeight="false" outlineLevel="0" collapsed="false">
      <c r="A96" s="1" t="s">
        <v>53</v>
      </c>
      <c r="D96" s="54" t="n">
        <f aca="false">SUM('Ablesewerte Strom'!D92-'Ablesewerte Strom'!C92)</f>
        <v>1458.5</v>
      </c>
      <c r="E96" s="54" t="n">
        <f aca="false">SUM('Ablesewerte Strom'!E92-'Ablesewerte Strom'!D92)</f>
        <v>2010</v>
      </c>
      <c r="F96" s="54" t="n">
        <f aca="false">SUM('Ablesewerte Strom'!F92-'Ablesewerte Strom'!E92)</f>
        <v>2262.89999999999</v>
      </c>
      <c r="G96" s="54" t="n">
        <f aca="false">SUM('Ablesewerte Strom'!G92-'Ablesewerte Strom'!F92)</f>
        <v>2222</v>
      </c>
      <c r="H96" s="54" t="n">
        <f aca="false">SUM('Ablesewerte Strom'!H92-'Ablesewerte Strom'!G92)</f>
        <v>1551.10000000001</v>
      </c>
      <c r="I96" s="54" t="n">
        <f aca="false">SUM('Ablesewerte Strom'!I92-'Ablesewerte Strom'!H92)</f>
        <v>1890.89999999999</v>
      </c>
      <c r="J96" s="54" t="n">
        <f aca="false">SUM('Ablesewerte Strom'!J92-'Ablesewerte Strom'!I92)</f>
        <v>1797.30000000002</v>
      </c>
      <c r="K96" s="54" t="n">
        <f aca="false">SUM('Ablesewerte Strom'!K92-'Ablesewerte Strom'!J92)</f>
        <v>157.299999999988</v>
      </c>
      <c r="L96" s="54" t="n">
        <f aca="false">SUM('Ablesewerte Strom'!L92-'Ablesewerte Strom'!K92)</f>
        <v>1775.10000000001</v>
      </c>
      <c r="M96" s="54" t="n">
        <f aca="false">SUM('Ablesewerte Strom'!M92-'Ablesewerte Strom'!L92)</f>
        <v>1723.39999999999</v>
      </c>
      <c r="N96" s="54" t="n">
        <f aca="false">SUM('Ablesewerte Strom'!N92-'Ablesewerte Strom'!M92)</f>
        <v>1931.60000000001</v>
      </c>
      <c r="O96" s="54" t="n">
        <f aca="false">SUM('Ablesewerte Strom'!O92-'Ablesewerte Strom'!N92)</f>
        <v>2835.29999999999</v>
      </c>
      <c r="P96" s="54" t="n">
        <f aca="false">SUM(D96:O96)</f>
        <v>21615.4</v>
      </c>
      <c r="Q96" s="1" t="s">
        <v>54</v>
      </c>
      <c r="R96" s="81" t="n">
        <f aca="false">SUM(Q85:Q95)</f>
        <v>49303.7</v>
      </c>
    </row>
    <row r="97" customFormat="false" ht="12.75" hidden="false" customHeight="false" outlineLevel="0" collapsed="false">
      <c r="A97" s="82" t="s">
        <v>41</v>
      </c>
      <c r="B97" s="23"/>
      <c r="C97" s="24"/>
      <c r="D97" s="54" t="n">
        <f aca="false">SUM('Ablesewerte Strom'!D93-'Ablesewerte Strom'!C93)</f>
        <v>17757</v>
      </c>
      <c r="E97" s="54" t="n">
        <f aca="false">SUM('Ablesewerte Strom'!E93-'Ablesewerte Strom'!D93)</f>
        <v>22634</v>
      </c>
      <c r="F97" s="54" t="n">
        <f aca="false">SUM('Ablesewerte Strom'!F93-'Ablesewerte Strom'!E93)</f>
        <v>24862</v>
      </c>
      <c r="G97" s="54" t="n">
        <f aca="false">SUM('Ablesewerte Strom'!G93-'Ablesewerte Strom'!F93)</f>
        <v>21325</v>
      </c>
      <c r="H97" s="54" t="n">
        <f aca="false">SUM('Ablesewerte Strom'!H93-'Ablesewerte Strom'!G93)</f>
        <v>11286</v>
      </c>
      <c r="I97" s="54" t="n">
        <f aca="false">SUM('Ablesewerte Strom'!I93-'Ablesewerte Strom'!H93)</f>
        <v>7938</v>
      </c>
      <c r="J97" s="54" t="n">
        <f aca="false">SUM('Ablesewerte Strom'!J93-'Ablesewerte Strom'!I93)</f>
        <v>10325</v>
      </c>
      <c r="K97" s="54" t="n">
        <f aca="false">SUM('Ablesewerte Strom'!K93-'Ablesewerte Strom'!J93)</f>
        <v>4322</v>
      </c>
      <c r="L97" s="54" t="n">
        <f aca="false">SUM('Ablesewerte Strom'!L93-'Ablesewerte Strom'!K93)</f>
        <v>13028</v>
      </c>
      <c r="M97" s="54" t="n">
        <f aca="false">SUM('Ablesewerte Strom'!M93-'Ablesewerte Strom'!L93)</f>
        <v>19773</v>
      </c>
      <c r="N97" s="54" t="n">
        <f aca="false">SUM('Ablesewerte Strom'!N93-'Ablesewerte Strom'!M93)</f>
        <v>22853</v>
      </c>
      <c r="O97" s="54" t="n">
        <f aca="false">SUM('Ablesewerte Strom'!O93-'Ablesewerte Strom'!N93)</f>
        <v>31564</v>
      </c>
      <c r="P97" s="23"/>
      <c r="Q97" s="23"/>
      <c r="R97" s="23"/>
    </row>
    <row r="98" customFormat="false" ht="13.8" hidden="false" customHeight="false" outlineLevel="0" collapsed="false">
      <c r="A98" s="83" t="s">
        <v>42</v>
      </c>
      <c r="B98" s="23"/>
      <c r="C98" s="24"/>
      <c r="D98" s="54" t="n">
        <f aca="false">SUM('Ablesewerte Strom'!D94-'Ablesewerte Strom'!C94)</f>
        <v>44.5</v>
      </c>
      <c r="E98" s="54" t="n">
        <f aca="false">SUM('Ablesewerte Strom'!E94-'Ablesewerte Strom'!D94)</f>
        <v>63</v>
      </c>
      <c r="F98" s="54" t="n">
        <f aca="false">SUM('Ablesewerte Strom'!F94-'Ablesewerte Strom'!E94)</f>
        <v>83.5999999999999</v>
      </c>
      <c r="G98" s="54" t="n">
        <f aca="false">SUM('Ablesewerte Strom'!G94-'Ablesewerte Strom'!F94)</f>
        <v>62.4000000000001</v>
      </c>
      <c r="H98" s="54" t="n">
        <f aca="false">SUM('Ablesewerte Strom'!H94-'Ablesewerte Strom'!G94)</f>
        <v>44.2</v>
      </c>
      <c r="I98" s="54" t="n">
        <f aca="false">SUM('Ablesewerte Strom'!I94-'Ablesewerte Strom'!H94)</f>
        <v>23.7</v>
      </c>
      <c r="J98" s="54" t="n">
        <f aca="false">SUM('Ablesewerte Strom'!J94-'Ablesewerte Strom'!I94)</f>
        <v>38.8</v>
      </c>
      <c r="K98" s="54" t="n">
        <f aca="false">SUM('Ablesewerte Strom'!K94-'Ablesewerte Strom'!J94)</f>
        <v>26.5999999999999</v>
      </c>
      <c r="L98" s="54" t="n">
        <f aca="false">SUM('Ablesewerte Strom'!L94-'Ablesewerte Strom'!K94)</f>
        <v>47.2</v>
      </c>
      <c r="M98" s="54" t="n">
        <f aca="false">SUM('Ablesewerte Strom'!M94-'Ablesewerte Strom'!L94)</f>
        <v>61</v>
      </c>
      <c r="N98" s="54" t="n">
        <f aca="false">SUM('Ablesewerte Strom'!N94-'Ablesewerte Strom'!M94)</f>
        <v>60</v>
      </c>
      <c r="O98" s="54" t="n">
        <f aca="false">SUM('Ablesewerte Strom'!O94-'Ablesewerte Strom'!N94)</f>
        <v>115.8</v>
      </c>
      <c r="P98" s="23"/>
      <c r="Q98" s="23"/>
      <c r="R98" s="23"/>
    </row>
    <row r="99" customFormat="false" ht="12.75" hidden="false" customHeight="false" outlineLevel="0" collapsed="false">
      <c r="A99" s="82" t="s">
        <v>43</v>
      </c>
      <c r="B99" s="23"/>
      <c r="C99" s="23"/>
      <c r="D99" s="54" t="n">
        <f aca="false">SUM('Ablesewerte Strom'!D95-'Ablesewerte Strom'!C95)</f>
        <v>743</v>
      </c>
      <c r="E99" s="54" t="n">
        <f aca="false">SUM('Ablesewerte Strom'!E95-'Ablesewerte Strom'!D95)</f>
        <v>1075</v>
      </c>
      <c r="F99" s="54" t="n">
        <f aca="false">SUM('Ablesewerte Strom'!F95-'Ablesewerte Strom'!E95)</f>
        <v>2434</v>
      </c>
      <c r="G99" s="54" t="n">
        <f aca="false">SUM('Ablesewerte Strom'!G95-'Ablesewerte Strom'!F95)</f>
        <v>3190</v>
      </c>
      <c r="H99" s="54" t="n">
        <f aca="false">SUM('Ablesewerte Strom'!H95-'Ablesewerte Strom'!G95)</f>
        <v>3591</v>
      </c>
      <c r="I99" s="54" t="n">
        <f aca="false">SUM('Ablesewerte Strom'!I95-'Ablesewerte Strom'!H95)</f>
        <v>3623</v>
      </c>
      <c r="J99" s="54" t="n">
        <f aca="false">SUM('Ablesewerte Strom'!J95-'Ablesewerte Strom'!I95)</f>
        <v>5697</v>
      </c>
      <c r="K99" s="54" t="n">
        <f aca="false">SUM('Ablesewerte Strom'!K95-'Ablesewerte Strom'!J95)</f>
        <v>2790</v>
      </c>
      <c r="L99" s="54" t="n">
        <f aca="false">SUM('Ablesewerte Strom'!L95-'Ablesewerte Strom'!K95)</f>
        <v>3569</v>
      </c>
      <c r="M99" s="54" t="n">
        <f aca="false">SUM('Ablesewerte Strom'!M95-'Ablesewerte Strom'!L95)</f>
        <v>1522</v>
      </c>
      <c r="N99" s="54" t="n">
        <f aca="false">SUM('Ablesewerte Strom'!N95-'Ablesewerte Strom'!M95)</f>
        <v>999</v>
      </c>
      <c r="O99" s="54" t="n">
        <f aca="false">SUM('Ablesewerte Strom'!O95-'Ablesewerte Strom'!N95)</f>
        <v>1096</v>
      </c>
      <c r="P99" s="23"/>
      <c r="Q99" s="23"/>
      <c r="R99" s="23"/>
    </row>
    <row r="100" customFormat="false" ht="12.75" hidden="false" customHeight="false" outlineLevel="0" collapsed="false">
      <c r="F100" s="1" t="s">
        <v>55</v>
      </c>
    </row>
    <row r="102" customFormat="false" ht="15" hidden="false" customHeight="false" outlineLevel="0" collapsed="false">
      <c r="A102" s="2" t="n">
        <v>2017</v>
      </c>
    </row>
    <row r="103" customFormat="false" ht="15" hidden="false" customHeight="false" outlineLevel="0" collapsed="false">
      <c r="A103" s="2" t="s">
        <v>23</v>
      </c>
      <c r="D103" s="79" t="s">
        <v>2</v>
      </c>
      <c r="E103" s="79" t="s">
        <v>3</v>
      </c>
      <c r="F103" s="79" t="s">
        <v>4</v>
      </c>
      <c r="G103" s="79" t="s">
        <v>5</v>
      </c>
      <c r="H103" s="79" t="s">
        <v>6</v>
      </c>
      <c r="I103" s="79" t="s">
        <v>7</v>
      </c>
      <c r="J103" s="79" t="s">
        <v>8</v>
      </c>
      <c r="K103" s="79" t="s">
        <v>9</v>
      </c>
      <c r="L103" s="79" t="s">
        <v>10</v>
      </c>
      <c r="M103" s="79" t="s">
        <v>11</v>
      </c>
      <c r="N103" s="79" t="s">
        <v>12</v>
      </c>
      <c r="O103" s="79" t="s">
        <v>13</v>
      </c>
    </row>
    <row r="105" customFormat="false" ht="12.75" hidden="false" customHeight="false" outlineLevel="0" collapsed="false">
      <c r="A105" s="1" t="s">
        <v>27</v>
      </c>
      <c r="D105" s="54" t="n">
        <f aca="false">SUM('Ablesewerte Strom'!D102-'Ablesewerte Strom'!C102)</f>
        <v>2140.59999999998</v>
      </c>
      <c r="E105" s="54" t="n">
        <f aca="false">SUM('Ablesewerte Strom'!E102-'Ablesewerte Strom'!D102)</f>
        <v>2988.40000000002</v>
      </c>
      <c r="F105" s="54" t="n">
        <f aca="false">SUM('Ablesewerte Strom'!F102-'Ablesewerte Strom'!E102)</f>
        <v>2226.70000000001</v>
      </c>
      <c r="G105" s="54" t="n">
        <f aca="false">SUM('Ablesewerte Strom'!G102-'Ablesewerte Strom'!F102)</f>
        <v>1788.5</v>
      </c>
      <c r="H105" s="54" t="n">
        <f aca="false">SUM('Ablesewerte Strom'!H102-'Ablesewerte Strom'!G102)</f>
        <v>2025.79999999999</v>
      </c>
      <c r="I105" s="54" t="n">
        <f aca="false">SUM('Ablesewerte Strom'!I102-'Ablesewerte Strom'!H102)</f>
        <v>1734.29999999999</v>
      </c>
      <c r="J105" s="54" t="n">
        <f aca="false">SUM('Ablesewerte Strom'!J102-'Ablesewerte Strom'!I102)</f>
        <v>1376.70000000001</v>
      </c>
      <c r="K105" s="54" t="n">
        <f aca="false">SUM('Ablesewerte Strom'!K102-'Ablesewerte Strom'!J102)</f>
        <v>1595</v>
      </c>
      <c r="L105" s="54" t="n">
        <f aca="false">SUM('Ablesewerte Strom'!L102-'Ablesewerte Strom'!K102)</f>
        <v>2545.20000000001</v>
      </c>
      <c r="M105" s="54" t="n">
        <f aca="false">SUM('Ablesewerte Strom'!M102-'Ablesewerte Strom'!L102)</f>
        <v>1901.20000000001</v>
      </c>
      <c r="N105" s="54" t="n">
        <f aca="false">SUM('Ablesewerte Strom'!N102-'Ablesewerte Strom'!M102)</f>
        <v>2588.5</v>
      </c>
      <c r="O105" s="54" t="n">
        <f aca="false">SUM('Ablesewerte Strom'!O102-'Ablesewerte Strom'!N102)</f>
        <v>3269.19999999995</v>
      </c>
      <c r="Q105" s="54" t="n">
        <f aca="false">SUM(D105:O105)</f>
        <v>26180.1</v>
      </c>
    </row>
    <row r="106" customFormat="false" ht="12.75" hidden="false" customHeight="false" outlineLevel="0" collapsed="false">
      <c r="A106" s="1" t="s">
        <v>28</v>
      </c>
      <c r="D106" s="54" t="n">
        <f aca="false">SUM('Ablesewerte Strom'!D103-'Ablesewerte Strom'!C103)</f>
        <v>1592.70000000001</v>
      </c>
      <c r="E106" s="54" t="n">
        <f aca="false">SUM('Ablesewerte Strom'!E103-'Ablesewerte Strom'!D103)</f>
        <v>2166.09999999998</v>
      </c>
      <c r="F106" s="54" t="n">
        <f aca="false">SUM('Ablesewerte Strom'!F103-'Ablesewerte Strom'!E103)</f>
        <v>1539.60000000004</v>
      </c>
      <c r="G106" s="54" t="n">
        <f aca="false">SUM('Ablesewerte Strom'!G103-'Ablesewerte Strom'!F103)</f>
        <v>1226.89999999997</v>
      </c>
      <c r="H106" s="54" t="n">
        <f aca="false">SUM('Ablesewerte Strom'!H103-'Ablesewerte Strom'!G103)</f>
        <v>1338.60000000004</v>
      </c>
      <c r="I106" s="54" t="n">
        <f aca="false">SUM('Ablesewerte Strom'!I103-'Ablesewerte Strom'!H103)</f>
        <v>1118.59999999998</v>
      </c>
      <c r="J106" s="54" t="n">
        <f aca="false">SUM('Ablesewerte Strom'!J103-'Ablesewerte Strom'!I103)</f>
        <v>919.400000000023</v>
      </c>
      <c r="K106" s="54" t="n">
        <f aca="false">SUM('Ablesewerte Strom'!K103-'Ablesewerte Strom'!J103)</f>
        <v>1067.59999999998</v>
      </c>
      <c r="L106" s="54" t="n">
        <f aca="false">SUM('Ablesewerte Strom'!L103-'Ablesewerte Strom'!K103)</f>
        <v>1671.09999999998</v>
      </c>
      <c r="M106" s="54" t="n">
        <f aca="false">SUM('Ablesewerte Strom'!M103-'Ablesewerte Strom'!L103)</f>
        <v>1257</v>
      </c>
      <c r="N106" s="54" t="n">
        <f aca="false">SUM('Ablesewerte Strom'!N103-'Ablesewerte Strom'!M103)</f>
        <v>1795</v>
      </c>
      <c r="O106" s="54" t="n">
        <f aca="false">SUM('Ablesewerte Strom'!O103-'Ablesewerte Strom'!N103)</f>
        <v>2326.90000000002</v>
      </c>
      <c r="Q106" s="54" t="n">
        <f aca="false">SUM(D106:O106)</f>
        <v>18019.5</v>
      </c>
    </row>
    <row r="107" customFormat="false" ht="12.75" hidden="false" customHeight="false" outlineLevel="0" collapsed="false">
      <c r="A107" s="1" t="s">
        <v>29</v>
      </c>
      <c r="D107" s="54" t="n">
        <f aca="false">SUM('Ablesewerte Strom'!D104-'Ablesewerte Strom'!C104)</f>
        <v>380</v>
      </c>
      <c r="E107" s="54" t="n">
        <f aca="false">SUM('Ablesewerte Strom'!E104-'Ablesewerte Strom'!D104)</f>
        <v>0</v>
      </c>
      <c r="F107" s="54" t="n">
        <f aca="false">SUM('Ablesewerte Strom'!F104-'Ablesewerte Strom'!E104)</f>
        <v>0</v>
      </c>
      <c r="G107" s="54" t="n">
        <f aca="false">SUM('Ablesewerte Strom'!G104-'Ablesewerte Strom'!F104)</f>
        <v>0</v>
      </c>
      <c r="H107" s="54" t="n">
        <f aca="false">SUM('Ablesewerte Strom'!H104-'Ablesewerte Strom'!G104)</f>
        <v>0</v>
      </c>
      <c r="I107" s="54" t="n">
        <f aca="false">SUM('Ablesewerte Strom'!I104-'Ablesewerte Strom'!H104)</f>
        <v>0</v>
      </c>
      <c r="J107" s="54" t="n">
        <f aca="false">SUM('Ablesewerte Strom'!J104-'Ablesewerte Strom'!I104)</f>
        <v>0</v>
      </c>
      <c r="K107" s="54" t="n">
        <f aca="false">SUM('Ablesewerte Strom'!K104-'Ablesewerte Strom'!J104)</f>
        <v>0</v>
      </c>
      <c r="L107" s="54" t="n">
        <f aca="false">SUM('Ablesewerte Strom'!L104-'Ablesewerte Strom'!K104)</f>
        <v>0</v>
      </c>
      <c r="M107" s="54" t="n">
        <f aca="false">SUM('Ablesewerte Strom'!M104-'Ablesewerte Strom'!L104)</f>
        <v>0</v>
      </c>
      <c r="N107" s="54" t="n">
        <f aca="false">SUM('Ablesewerte Strom'!N104-'Ablesewerte Strom'!M104)</f>
        <v>0</v>
      </c>
      <c r="O107" s="54" t="n">
        <f aca="false">SUM('Ablesewerte Strom'!O104-'Ablesewerte Strom'!N104)</f>
        <v>0</v>
      </c>
      <c r="Q107" s="54" t="n">
        <v>380</v>
      </c>
    </row>
    <row r="108" customFormat="false" ht="12.75" hidden="false" customHeight="false" outlineLevel="0" collapsed="false">
      <c r="A108" s="1" t="s">
        <v>30</v>
      </c>
      <c r="D108" s="54" t="n">
        <f aca="false">SUM('Ablesewerte Strom'!D105-'Ablesewerte Strom'!C105)</f>
        <v>38.2999999999956</v>
      </c>
      <c r="E108" s="54" t="n">
        <f aca="false">SUM('Ablesewerte Strom'!E105-'Ablesewerte Strom'!D105)</f>
        <v>0</v>
      </c>
      <c r="F108" s="54" t="n">
        <f aca="false">SUM('Ablesewerte Strom'!F105-'Ablesewerte Strom'!E105)</f>
        <v>0</v>
      </c>
      <c r="G108" s="54" t="n">
        <f aca="false">SUM('Ablesewerte Strom'!G105-'Ablesewerte Strom'!F105)</f>
        <v>0</v>
      </c>
      <c r="H108" s="54" t="n">
        <f aca="false">SUM('Ablesewerte Strom'!H105-'Ablesewerte Strom'!G105)</f>
        <v>0</v>
      </c>
      <c r="I108" s="54" t="n">
        <f aca="false">SUM('Ablesewerte Strom'!I105-'Ablesewerte Strom'!H105)</f>
        <v>0</v>
      </c>
      <c r="J108" s="54" t="n">
        <f aca="false">SUM('Ablesewerte Strom'!J105-'Ablesewerte Strom'!I105)</f>
        <v>0</v>
      </c>
      <c r="K108" s="54" t="n">
        <f aca="false">SUM('Ablesewerte Strom'!K105-'Ablesewerte Strom'!J105)</f>
        <v>0</v>
      </c>
      <c r="L108" s="54" t="n">
        <f aca="false">SUM('Ablesewerte Strom'!L105-'Ablesewerte Strom'!K105)</f>
        <v>0</v>
      </c>
      <c r="M108" s="54" t="n">
        <f aca="false">SUM('Ablesewerte Strom'!M105-'Ablesewerte Strom'!L105)</f>
        <v>0</v>
      </c>
      <c r="N108" s="54" t="n">
        <f aca="false">SUM('Ablesewerte Strom'!N105-'Ablesewerte Strom'!M105)</f>
        <v>0</v>
      </c>
      <c r="O108" s="54" t="n">
        <f aca="false">SUM('Ablesewerte Strom'!O105-'Ablesewerte Strom'!N105)</f>
        <v>0</v>
      </c>
      <c r="Q108" s="54" t="n">
        <v>38.3</v>
      </c>
    </row>
    <row r="109" customFormat="false" ht="12.75" hidden="false" customHeight="false" outlineLevel="0" collapsed="false">
      <c r="A109" s="1" t="s">
        <v>31</v>
      </c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</row>
    <row r="110" customFormat="false" ht="12.75" hidden="false" customHeight="false" outlineLevel="0" collapsed="false"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Q110" s="54" t="n">
        <f aca="false">SUM(D109:O110)</f>
        <v>0</v>
      </c>
    </row>
    <row r="111" customFormat="false" ht="12.75" hidden="false" customHeight="false" outlineLevel="0" collapsed="false">
      <c r="A111" s="1" t="s">
        <v>48</v>
      </c>
      <c r="D111" s="54" t="n">
        <f aca="false">SUM('Ablesewerte Strom'!D107-'Ablesewerte Strom'!C107)</f>
        <v>51.4399999999987</v>
      </c>
      <c r="E111" s="54" t="n">
        <f aca="false">SUM('Ablesewerte Strom'!E107-'Ablesewerte Strom'!D107)</f>
        <v>75.6500000000015</v>
      </c>
      <c r="F111" s="54" t="n">
        <f aca="false">SUM('Ablesewerte Strom'!F107-'Ablesewerte Strom'!E107)</f>
        <v>73.2799999999988</v>
      </c>
      <c r="G111" s="54" t="n">
        <f aca="false">SUM('Ablesewerte Strom'!G107-'Ablesewerte Strom'!F107)</f>
        <v>49.5200000000004</v>
      </c>
      <c r="H111" s="54" t="n">
        <f aca="false">SUM('Ablesewerte Strom'!H107-'Ablesewerte Strom'!G107)</f>
        <v>75.25</v>
      </c>
      <c r="I111" s="54" t="n">
        <f aca="false">SUM('Ablesewerte Strom'!I107-'Ablesewerte Strom'!H107)</f>
        <v>55.9899999999998</v>
      </c>
      <c r="J111" s="54" t="n">
        <f aca="false">SUM('Ablesewerte Strom'!J107-'Ablesewerte Strom'!I107)</f>
        <v>48.5200000000004</v>
      </c>
      <c r="K111" s="54" t="n">
        <f aca="false">SUM('Ablesewerte Strom'!K107-'Ablesewerte Strom'!J107)</f>
        <v>59.2399999999998</v>
      </c>
      <c r="L111" s="54" t="n">
        <f aca="false">SUM('Ablesewerte Strom'!L107-'Ablesewerte Strom'!K107)</f>
        <v>73.75</v>
      </c>
      <c r="M111" s="54" t="n">
        <f aca="false">SUM('Ablesewerte Strom'!M107-'Ablesewerte Strom'!L107)</f>
        <v>55.7199999999993</v>
      </c>
      <c r="N111" s="54" t="n">
        <f aca="false">SUM('Ablesewerte Strom'!N107-'Ablesewerte Strom'!M107)</f>
        <v>67.8900000000012</v>
      </c>
      <c r="O111" s="54" t="n">
        <f aca="false">SUM('Ablesewerte Strom'!O107-'Ablesewerte Strom'!N107)</f>
        <v>68.2199999999994</v>
      </c>
      <c r="P111" s="54" t="n">
        <f aca="false">SUM(D111:O111)</f>
        <v>754.469999999999</v>
      </c>
    </row>
    <row r="112" customFormat="false" ht="12.75" hidden="false" customHeight="false" outlineLevel="0" collapsed="false">
      <c r="A112" s="1" t="s">
        <v>49</v>
      </c>
      <c r="D112" s="54" t="n">
        <f aca="false">SUM('Ablesewerte Strom'!D108-'Ablesewerte Strom'!C108)</f>
        <v>23.4000000000001</v>
      </c>
      <c r="E112" s="54" t="n">
        <f aca="false">SUM('Ablesewerte Strom'!E108-'Ablesewerte Strom'!D108)</f>
        <v>30.1999999999998</v>
      </c>
      <c r="F112" s="54" t="n">
        <f aca="false">SUM('Ablesewerte Strom'!F108-'Ablesewerte Strom'!E108)</f>
        <v>26.2800000000002</v>
      </c>
      <c r="G112" s="54" t="n">
        <f aca="false">SUM('Ablesewerte Strom'!G108-'Ablesewerte Strom'!F108)</f>
        <v>16.8600000000001</v>
      </c>
      <c r="H112" s="54" t="n">
        <f aca="false">SUM('Ablesewerte Strom'!H108-'Ablesewerte Strom'!G108)</f>
        <v>26.0599999999999</v>
      </c>
      <c r="I112" s="54" t="n">
        <f aca="false">SUM('Ablesewerte Strom'!I108-'Ablesewerte Strom'!H108)</f>
        <v>19.6500000000001</v>
      </c>
      <c r="J112" s="54" t="n">
        <f aca="false">SUM('Ablesewerte Strom'!J108-'Ablesewerte Strom'!I108)</f>
        <v>17.9699999999998</v>
      </c>
      <c r="K112" s="54" t="n">
        <f aca="false">SUM('Ablesewerte Strom'!K108-'Ablesewerte Strom'!J108)</f>
        <v>18.9000000000001</v>
      </c>
      <c r="L112" s="54" t="n">
        <f aca="false">SUM('Ablesewerte Strom'!L108-'Ablesewerte Strom'!K108)</f>
        <v>29.5499999999997</v>
      </c>
      <c r="M112" s="54" t="n">
        <f aca="false">SUM('Ablesewerte Strom'!M108-'Ablesewerte Strom'!L108)</f>
        <v>21.0600000000004</v>
      </c>
      <c r="N112" s="54" t="n">
        <f aca="false">SUM('Ablesewerte Strom'!N108-'Ablesewerte Strom'!M108)</f>
        <v>26.52</v>
      </c>
      <c r="O112" s="54" t="n">
        <f aca="false">SUM('Ablesewerte Strom'!O108-'Ablesewerte Strom'!N108)</f>
        <v>28.8699999999999</v>
      </c>
      <c r="P112" s="54" t="n">
        <f aca="false">SUM(D112:O112)</f>
        <v>285.32</v>
      </c>
    </row>
    <row r="113" customFormat="false" ht="12.75" hidden="false" customHeight="false" outlineLevel="0" collapsed="false">
      <c r="A113" s="1" t="s">
        <v>50</v>
      </c>
      <c r="D113" s="54" t="n">
        <f aca="false">SUM('Ablesewerte Strom'!D109-'Ablesewerte Strom'!C109)</f>
        <v>807.100000000002</v>
      </c>
      <c r="E113" s="54" t="n">
        <f aca="false">SUM('Ablesewerte Strom'!E109-'Ablesewerte Strom'!D109)</f>
        <v>1128</v>
      </c>
      <c r="F113" s="54" t="n">
        <f aca="false">SUM('Ablesewerte Strom'!F109-'Ablesewerte Strom'!E109)</f>
        <v>894.099999999999</v>
      </c>
      <c r="G113" s="54" t="n">
        <f aca="false">SUM('Ablesewerte Strom'!G109-'Ablesewerte Strom'!F109)</f>
        <v>617.299999999999</v>
      </c>
      <c r="H113" s="54" t="n">
        <f aca="false">SUM('Ablesewerte Strom'!H109-'Ablesewerte Strom'!G109)</f>
        <v>803.5</v>
      </c>
      <c r="I113" s="54" t="n">
        <f aca="false">SUM('Ablesewerte Strom'!I109-'Ablesewerte Strom'!H109)</f>
        <v>564.400000000002</v>
      </c>
      <c r="J113" s="54" t="n">
        <f aca="false">SUM('Ablesewerte Strom'!J109-'Ablesewerte Strom'!I109)</f>
        <v>407.799999999999</v>
      </c>
      <c r="K113" s="54" t="n">
        <f aca="false">SUM('Ablesewerte Strom'!K109-'Ablesewerte Strom'!J109)</f>
        <v>514</v>
      </c>
      <c r="L113" s="54" t="n">
        <f aca="false">SUM('Ablesewerte Strom'!L109-'Ablesewerte Strom'!K109)</f>
        <v>916.700000000001</v>
      </c>
      <c r="M113" s="54" t="n">
        <f aca="false">SUM('Ablesewerte Strom'!M109-'Ablesewerte Strom'!L109)</f>
        <v>818.899999999998</v>
      </c>
      <c r="N113" s="54" t="n">
        <f aca="false">SUM('Ablesewerte Strom'!N109-'Ablesewerte Strom'!M109)</f>
        <v>1001.4</v>
      </c>
      <c r="O113" s="54" t="n">
        <f aca="false">SUM('Ablesewerte Strom'!O109-'Ablesewerte Strom'!N109)</f>
        <v>1126.3</v>
      </c>
      <c r="P113" s="54" t="n">
        <f aca="false">SUM(D113:O113)</f>
        <v>9599.5</v>
      </c>
    </row>
    <row r="114" customFormat="false" ht="12.75" hidden="false" customHeight="false" outlineLevel="0" collapsed="false">
      <c r="A114" s="1" t="s">
        <v>39</v>
      </c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</row>
    <row r="115" customFormat="false" ht="12.75" hidden="false" customHeight="false" outlineLevel="0" collapsed="false"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Q115" s="54" t="n">
        <f aca="false">SUM(D114:O115)</f>
        <v>0</v>
      </c>
    </row>
    <row r="116" customFormat="false" ht="12.75" hidden="false" customHeight="false" outlineLevel="0" collapsed="false">
      <c r="A116" s="1" t="s">
        <v>53</v>
      </c>
      <c r="D116" s="54" t="n">
        <f aca="false">SUM('Ablesewerte Strom'!D111-'Ablesewerte Strom'!C111)</f>
        <v>1528.10000000001</v>
      </c>
      <c r="E116" s="54" t="n">
        <f aca="false">SUM('Ablesewerte Strom'!E111-'Ablesewerte Strom'!D111)</f>
        <v>2311.60000000001</v>
      </c>
      <c r="F116" s="54" t="n">
        <f aca="false">SUM('Ablesewerte Strom'!F111-'Ablesewerte Strom'!E111)</f>
        <v>1832.89999999999</v>
      </c>
      <c r="G116" s="54" t="n">
        <f aca="false">SUM('Ablesewerte Strom'!G111-'Ablesewerte Strom'!F111)</f>
        <v>2055.60000000001</v>
      </c>
      <c r="H116" s="54" t="n">
        <f aca="false">SUM('Ablesewerte Strom'!H111-'Ablesewerte Strom'!G111)</f>
        <v>1730.5</v>
      </c>
      <c r="I116" s="54" t="n">
        <f aca="false">SUM('Ablesewerte Strom'!I111-'Ablesewerte Strom'!H111)</f>
        <v>1539.39999999999</v>
      </c>
      <c r="J116" s="54" t="n">
        <f aca="false">SUM('Ablesewerte Strom'!J111-'Ablesewerte Strom'!I111)</f>
        <v>1317.10000000001</v>
      </c>
      <c r="K116" s="54" t="n">
        <f aca="false">SUM('Ablesewerte Strom'!K111-'Ablesewerte Strom'!J111)</f>
        <v>1296.89999999999</v>
      </c>
      <c r="L116" s="54" t="n">
        <f aca="false">SUM('Ablesewerte Strom'!L111-'Ablesewerte Strom'!K111)</f>
        <v>2092</v>
      </c>
      <c r="M116" s="54" t="n">
        <f aca="false">SUM('Ablesewerte Strom'!M111-'Ablesewerte Strom'!L111)</f>
        <v>1621.79999999999</v>
      </c>
      <c r="N116" s="54" t="n">
        <f aca="false">SUM('Ablesewerte Strom'!N111-'Ablesewerte Strom'!M111)</f>
        <v>1887.70000000001</v>
      </c>
      <c r="O116" s="54" t="n">
        <f aca="false">SUM('Ablesewerte Strom'!O111-'Ablesewerte Strom'!N111)</f>
        <v>1884.89999999999</v>
      </c>
      <c r="P116" s="54" t="n">
        <f aca="false">SUM(D116:O116)</f>
        <v>21098.5</v>
      </c>
      <c r="Q116" s="1" t="s">
        <v>54</v>
      </c>
      <c r="R116" s="81" t="n">
        <f aca="false">SUM(Q105:Q115)</f>
        <v>44617.9</v>
      </c>
    </row>
    <row r="117" customFormat="false" ht="12.75" hidden="false" customHeight="false" outlineLevel="0" collapsed="false">
      <c r="A117" s="82" t="s">
        <v>41</v>
      </c>
      <c r="B117" s="23"/>
      <c r="C117" s="24"/>
      <c r="D117" s="54" t="n">
        <f aca="false">SUM('Ablesewerte Strom'!D112-'Ablesewerte Strom'!C112)</f>
        <v>17730</v>
      </c>
      <c r="E117" s="54" t="n">
        <f aca="false">SUM('Ablesewerte Strom'!E112-'Ablesewerte Strom'!D112)</f>
        <v>21697</v>
      </c>
      <c r="F117" s="54" t="n">
        <f aca="false">SUM('Ablesewerte Strom'!F112-'Ablesewerte Strom'!E112)</f>
        <v>19360</v>
      </c>
      <c r="G117" s="54" t="n">
        <f aca="false">SUM('Ablesewerte Strom'!G112-'Ablesewerte Strom'!F112)</f>
        <v>18822</v>
      </c>
      <c r="H117" s="54" t="n">
        <f aca="false">SUM('Ablesewerte Strom'!H112-'Ablesewerte Strom'!G112)</f>
        <v>12838</v>
      </c>
      <c r="I117" s="54" t="n">
        <f aca="false">SUM('Ablesewerte Strom'!I112-'Ablesewerte Strom'!H112)</f>
        <v>7589</v>
      </c>
      <c r="J117" s="54" t="n">
        <f aca="false">SUM('Ablesewerte Strom'!J112-'Ablesewerte Strom'!I112)</f>
        <v>4408</v>
      </c>
      <c r="K117" s="54" t="n">
        <f aca="false">SUM('Ablesewerte Strom'!K112-'Ablesewerte Strom'!J112)</f>
        <v>5619</v>
      </c>
      <c r="L117" s="54" t="n">
        <f aca="false">SUM('Ablesewerte Strom'!L112-'Ablesewerte Strom'!K112)</f>
        <v>17307</v>
      </c>
      <c r="M117" s="54" t="n">
        <f aca="false">SUM('Ablesewerte Strom'!M112-'Ablesewerte Strom'!L112)</f>
        <v>14638</v>
      </c>
      <c r="N117" s="54" t="n">
        <f aca="false">SUM('Ablesewerte Strom'!N112-'Ablesewerte Strom'!M112)</f>
        <v>22499</v>
      </c>
      <c r="O117" s="54" t="n">
        <f aca="false">SUM('Ablesewerte Strom'!O112-'Ablesewerte Strom'!N112)</f>
        <v>31507</v>
      </c>
      <c r="P117" s="23"/>
      <c r="Q117" s="23"/>
      <c r="R117" s="23"/>
    </row>
    <row r="118" customFormat="false" ht="13.8" hidden="false" customHeight="false" outlineLevel="0" collapsed="false">
      <c r="A118" s="83" t="s">
        <v>42</v>
      </c>
      <c r="B118" s="23"/>
      <c r="C118" s="24"/>
      <c r="D118" s="54" t="n">
        <f aca="false">SUM('Ablesewerte Strom'!D113-'Ablesewerte Strom'!C113)</f>
        <v>44.3</v>
      </c>
      <c r="E118" s="54" t="n">
        <f aca="false">SUM('Ablesewerte Strom'!E113-'Ablesewerte Strom'!D113)</f>
        <v>70.1000000000001</v>
      </c>
      <c r="F118" s="54" t="n">
        <f aca="false">SUM('Ablesewerte Strom'!F113-'Ablesewerte Strom'!E113)</f>
        <v>52.3999999999999</v>
      </c>
      <c r="G118" s="54" t="n">
        <f aca="false">SUM('Ablesewerte Strom'!G113-'Ablesewerte Strom'!F113)</f>
        <v>77.2000000000001</v>
      </c>
      <c r="H118" s="54" t="n">
        <f aca="false">SUM('Ablesewerte Strom'!H113-'Ablesewerte Strom'!G113)</f>
        <v>41.5</v>
      </c>
      <c r="I118" s="54" t="n">
        <f aca="false">SUM('Ablesewerte Strom'!I113-'Ablesewerte Strom'!H113)</f>
        <v>34.9000000000001</v>
      </c>
      <c r="J118" s="54" t="n">
        <f aca="false">SUM('Ablesewerte Strom'!J113-'Ablesewerte Strom'!I113)</f>
        <v>15.5</v>
      </c>
      <c r="K118" s="54" t="n">
        <f aca="false">SUM('Ablesewerte Strom'!K113-'Ablesewerte Strom'!J113)</f>
        <v>27</v>
      </c>
      <c r="L118" s="54" t="n">
        <f aca="false">SUM('Ablesewerte Strom'!L113-'Ablesewerte Strom'!K113)</f>
        <v>56.7</v>
      </c>
      <c r="M118" s="54" t="n">
        <f aca="false">SUM('Ablesewerte Strom'!M113-'Ablesewerte Strom'!L113)</f>
        <v>43.4000000000001</v>
      </c>
      <c r="N118" s="54" t="n">
        <f aca="false">SUM('Ablesewerte Strom'!N113-'Ablesewerte Strom'!M113)</f>
        <v>61.3999999999996</v>
      </c>
      <c r="O118" s="54" t="n">
        <f aca="false">SUM('Ablesewerte Strom'!O113-'Ablesewerte Strom'!N113)</f>
        <v>120.4</v>
      </c>
      <c r="P118" s="23"/>
      <c r="Q118" s="23"/>
      <c r="R118" s="23"/>
    </row>
    <row r="119" customFormat="false" ht="12.75" hidden="false" customHeight="false" outlineLevel="0" collapsed="false">
      <c r="A119" s="82" t="s">
        <v>43</v>
      </c>
      <c r="B119" s="23"/>
      <c r="C119" s="23"/>
      <c r="D119" s="54" t="n">
        <f aca="false">SUM('Ablesewerte Strom'!D114-'Ablesewerte Strom'!C114)</f>
        <v>960</v>
      </c>
      <c r="E119" s="54" t="n">
        <f aca="false">SUM('Ablesewerte Strom'!E114-'Ablesewerte Strom'!D114)</f>
        <v>1946</v>
      </c>
      <c r="F119" s="54" t="n">
        <f aca="false">SUM('Ablesewerte Strom'!F114-'Ablesewerte Strom'!E114)</f>
        <v>2822</v>
      </c>
      <c r="G119" s="54" t="n">
        <f aca="false">SUM('Ablesewerte Strom'!G114-'Ablesewerte Strom'!F114)</f>
        <v>3387</v>
      </c>
      <c r="H119" s="54" t="n">
        <f aca="false">SUM('Ablesewerte Strom'!H114-'Ablesewerte Strom'!G114)</f>
        <v>4029</v>
      </c>
      <c r="I119" s="54" t="n">
        <f aca="false">SUM('Ablesewerte Strom'!I114-'Ablesewerte Strom'!H114)</f>
        <v>4756</v>
      </c>
      <c r="J119" s="54" t="n">
        <f aca="false">SUM('Ablesewerte Strom'!J114-'Ablesewerte Strom'!I114)</f>
        <v>2913</v>
      </c>
      <c r="K119" s="54" t="n">
        <f aca="false">SUM('Ablesewerte Strom'!K114-'Ablesewerte Strom'!J114)</f>
        <v>4187</v>
      </c>
      <c r="L119" s="54" t="n">
        <f aca="false">SUM('Ablesewerte Strom'!L114-'Ablesewerte Strom'!K114)</f>
        <v>3298</v>
      </c>
      <c r="M119" s="54" t="n">
        <f aca="false">SUM('Ablesewerte Strom'!M114-'Ablesewerte Strom'!L114)</f>
        <v>1766</v>
      </c>
      <c r="N119" s="54" t="n">
        <f aca="false">SUM('Ablesewerte Strom'!N114-'Ablesewerte Strom'!M114)</f>
        <v>603</v>
      </c>
      <c r="O119" s="54" t="n">
        <f aca="false">SUM('Ablesewerte Strom'!O114-'Ablesewerte Strom'!N114)</f>
        <v>629</v>
      </c>
      <c r="P119" s="23"/>
      <c r="Q119" s="23"/>
      <c r="R119" s="23"/>
    </row>
    <row r="120" customFormat="false" ht="12.75" hidden="false" customHeight="false" outlineLevel="0" collapsed="false">
      <c r="F120" s="1" t="s">
        <v>55</v>
      </c>
    </row>
    <row r="123" customFormat="false" ht="15" hidden="false" customHeight="false" outlineLevel="0" collapsed="false">
      <c r="A123" s="2" t="n">
        <v>2018</v>
      </c>
    </row>
    <row r="124" customFormat="false" ht="15" hidden="false" customHeight="false" outlineLevel="0" collapsed="false">
      <c r="A124" s="2" t="s">
        <v>23</v>
      </c>
      <c r="D124" s="79" t="s">
        <v>2</v>
      </c>
      <c r="E124" s="79" t="s">
        <v>3</v>
      </c>
      <c r="F124" s="79" t="s">
        <v>4</v>
      </c>
      <c r="G124" s="79" t="s">
        <v>5</v>
      </c>
      <c r="H124" s="79" t="s">
        <v>6</v>
      </c>
      <c r="I124" s="79" t="s">
        <v>7</v>
      </c>
      <c r="J124" s="79" t="s">
        <v>8</v>
      </c>
      <c r="K124" s="79" t="s">
        <v>9</v>
      </c>
      <c r="L124" s="79" t="s">
        <v>10</v>
      </c>
      <c r="M124" s="79" t="s">
        <v>11</v>
      </c>
      <c r="N124" s="79" t="s">
        <v>12</v>
      </c>
      <c r="O124" s="79" t="s">
        <v>13</v>
      </c>
    </row>
    <row r="126" customFormat="false" ht="12.75" hidden="false" customHeight="false" outlineLevel="0" collapsed="false">
      <c r="A126" s="1" t="s">
        <v>27</v>
      </c>
      <c r="D126" s="54" t="n">
        <f aca="false">SUM('Ablesewerte Strom'!D121-'Ablesewerte Strom'!C121)</f>
        <v>2292.20000000001</v>
      </c>
      <c r="E126" s="54" t="n">
        <f aca="false">SUM('Ablesewerte Strom'!E121-'Ablesewerte Strom'!D121)</f>
        <v>2749.5</v>
      </c>
      <c r="F126" s="54" t="n">
        <f aca="false">SUM('Ablesewerte Strom'!F121-'Ablesewerte Strom'!E121)</f>
        <v>2684.10000000004</v>
      </c>
      <c r="G126" s="54" t="n">
        <f aca="false">SUM('Ablesewerte Strom'!G121-'Ablesewerte Strom'!F121)</f>
        <v>1698.79999999999</v>
      </c>
      <c r="H126" s="54" t="n">
        <f aca="false">SUM('Ablesewerte Strom'!H121-'Ablesewerte Strom'!G121)</f>
        <v>1888.79999999999</v>
      </c>
      <c r="I126" s="54" t="n">
        <f aca="false">SUM('Ablesewerte Strom'!I121-'Ablesewerte Strom'!H121)</f>
        <v>1789.5</v>
      </c>
      <c r="J126" s="54" t="n">
        <f aca="false">SUM('Ablesewerte Strom'!J121-'Ablesewerte Strom'!I121)</f>
        <v>1921.59999999998</v>
      </c>
      <c r="K126" s="54" t="n">
        <f aca="false">SUM('Ablesewerte Strom'!K121-'Ablesewerte Strom'!J121)</f>
        <v>1132.5</v>
      </c>
      <c r="L126" s="54" t="n">
        <f aca="false">SUM('Ablesewerte Strom'!L121-'Ablesewerte Strom'!K121)</f>
        <v>1578.90000000002</v>
      </c>
      <c r="M126" s="54" t="n">
        <f aca="false">SUM('Ablesewerte Strom'!M121-'Ablesewerte Strom'!L121)</f>
        <v>2373.19999999995</v>
      </c>
      <c r="N126" s="54" t="n">
        <f aca="false">SUM('Ablesewerte Strom'!N121-'Ablesewerte Strom'!M121)</f>
        <v>2410.70000000007</v>
      </c>
      <c r="O126" s="54" t="n">
        <f aca="false">SUM('Ablesewerte Strom'!O121-'Ablesewerte Strom'!N121)</f>
        <v>2715.40000000002</v>
      </c>
      <c r="Q126" s="54" t="n">
        <f aca="false">SUM(D126:O126)</f>
        <v>25235.2000000001</v>
      </c>
    </row>
    <row r="127" customFormat="false" ht="12.75" hidden="false" customHeight="false" outlineLevel="0" collapsed="false">
      <c r="A127" s="1" t="s">
        <v>28</v>
      </c>
      <c r="D127" s="54" t="n">
        <f aca="false">SUM('Ablesewerte Strom'!D122-'Ablesewerte Strom'!C122)</f>
        <v>1598.90000000002</v>
      </c>
      <c r="E127" s="54" t="n">
        <f aca="false">SUM('Ablesewerte Strom'!E122-'Ablesewerte Strom'!D122)</f>
        <v>2074</v>
      </c>
      <c r="F127" s="54" t="n">
        <f aca="false">SUM('Ablesewerte Strom'!F122-'Ablesewerte Strom'!E122)</f>
        <v>1873</v>
      </c>
      <c r="G127" s="54" t="n">
        <f aca="false">SUM('Ablesewerte Strom'!G122-'Ablesewerte Strom'!F122)</f>
        <v>1103.69999999995</v>
      </c>
      <c r="H127" s="54" t="n">
        <f aca="false">SUM('Ablesewerte Strom'!H122-'Ablesewerte Strom'!G122)</f>
        <v>1210.40000000002</v>
      </c>
      <c r="I127" s="54" t="n">
        <f aca="false">SUM('Ablesewerte Strom'!I122-'Ablesewerte Strom'!H122)</f>
        <v>1127</v>
      </c>
      <c r="J127" s="54" t="n">
        <f aca="false">SUM('Ablesewerte Strom'!J122-'Ablesewerte Strom'!I122)</f>
        <v>1217.5</v>
      </c>
      <c r="K127" s="54" t="n">
        <f aca="false">SUM('Ablesewerte Strom'!K122-'Ablesewerte Strom'!J122)</f>
        <v>706.900000000023</v>
      </c>
      <c r="L127" s="54" t="n">
        <f aca="false">SUM('Ablesewerte Strom'!L122-'Ablesewerte Strom'!K122)</f>
        <v>961.5</v>
      </c>
      <c r="M127" s="54" t="n">
        <f aca="false">SUM('Ablesewerte Strom'!M122-'Ablesewerte Strom'!L122)</f>
        <v>1595.39999999997</v>
      </c>
      <c r="N127" s="54" t="n">
        <f aca="false">SUM('Ablesewerte Strom'!N122-'Ablesewerte Strom'!M122)</f>
        <v>1689.70000000001</v>
      </c>
      <c r="O127" s="54" t="n">
        <f aca="false">SUM('Ablesewerte Strom'!O122-'Ablesewerte Strom'!N122)</f>
        <v>1993.70000000001</v>
      </c>
      <c r="Q127" s="54" t="n">
        <f aca="false">SUM(D127:O127)</f>
        <v>17151.7</v>
      </c>
    </row>
    <row r="128" customFormat="false" ht="12.75" hidden="false" customHeight="false" outlineLevel="0" collapsed="false">
      <c r="A128" s="1" t="s">
        <v>29</v>
      </c>
      <c r="D128" s="54" t="n">
        <f aca="false">SUM('Ablesewerte Strom'!D123-'Ablesewerte Strom'!C123)</f>
        <v>0</v>
      </c>
      <c r="E128" s="54" t="n">
        <f aca="false">SUM('Ablesewerte Strom'!E123-'Ablesewerte Strom'!D123)</f>
        <v>0</v>
      </c>
      <c r="F128" s="54" t="n">
        <f aca="false">SUM('Ablesewerte Strom'!F123-'Ablesewerte Strom'!E123)</f>
        <v>0</v>
      </c>
      <c r="G128" s="54" t="n">
        <f aca="false">SUM('Ablesewerte Strom'!G123-'Ablesewerte Strom'!F123)</f>
        <v>0</v>
      </c>
      <c r="H128" s="54" t="n">
        <f aca="false">SUM('Ablesewerte Strom'!H123-'Ablesewerte Strom'!G123)</f>
        <v>0</v>
      </c>
      <c r="I128" s="54" t="n">
        <f aca="false">SUM('Ablesewerte Strom'!I123-'Ablesewerte Strom'!H123)</f>
        <v>2648.7</v>
      </c>
      <c r="J128" s="54" t="n">
        <f aca="false">SUM('Ablesewerte Strom'!J123-'Ablesewerte Strom'!I123)</f>
        <v>0</v>
      </c>
      <c r="K128" s="54" t="n">
        <f aca="false">SUM('Ablesewerte Strom'!K123-'Ablesewerte Strom'!J123)</f>
        <v>0</v>
      </c>
      <c r="L128" s="54" t="n">
        <f aca="false">SUM('Ablesewerte Strom'!L123-'Ablesewerte Strom'!K123)</f>
        <v>0</v>
      </c>
      <c r="M128" s="54" t="n">
        <f aca="false">SUM('Ablesewerte Strom'!M123-'Ablesewerte Strom'!L123)</f>
        <v>0</v>
      </c>
      <c r="N128" s="54" t="n">
        <f aca="false">SUM('Ablesewerte Strom'!N123-'Ablesewerte Strom'!C123)</f>
        <v>5162.6</v>
      </c>
      <c r="O128" s="54" t="n">
        <f aca="false">SUM('Ablesewerte Strom'!O126-'Ablesewerte Strom'!N126)</f>
        <v>54.3900000000012</v>
      </c>
      <c r="Q128" s="54" t="n">
        <f aca="false">SUM(D128:P128)</f>
        <v>7865.69</v>
      </c>
    </row>
    <row r="129" customFormat="false" ht="12.75" hidden="false" customHeight="false" outlineLevel="0" collapsed="false">
      <c r="A129" s="1" t="s">
        <v>30</v>
      </c>
      <c r="D129" s="54" t="n">
        <f aca="false">SUM('Ablesewerte Strom'!D124-'Ablesewerte Strom'!C124)</f>
        <v>0</v>
      </c>
      <c r="E129" s="54" t="n">
        <f aca="false">SUM('Ablesewerte Strom'!E124-'Ablesewerte Strom'!D124)</f>
        <v>0</v>
      </c>
      <c r="F129" s="54" t="n">
        <f aca="false">SUM('Ablesewerte Strom'!F124-'Ablesewerte Strom'!E124)</f>
        <v>0</v>
      </c>
      <c r="G129" s="54" t="n">
        <f aca="false">SUM('Ablesewerte Strom'!G124-'Ablesewerte Strom'!F124)</f>
        <v>0</v>
      </c>
      <c r="H129" s="54" t="n">
        <f aca="false">SUM('Ablesewerte Strom'!H124-'Ablesewerte Strom'!G124)</f>
        <v>0</v>
      </c>
      <c r="I129" s="54" t="n">
        <f aca="false">SUM('Ablesewerte Strom'!I124-'Ablesewerte Strom'!H124)</f>
        <v>209.800000000003</v>
      </c>
      <c r="J129" s="54" t="n">
        <f aca="false">SUM('Ablesewerte Strom'!J124-'Ablesewerte Strom'!I124)</f>
        <v>0</v>
      </c>
      <c r="K129" s="54" t="n">
        <f aca="false">SUM('Ablesewerte Strom'!K124-'Ablesewerte Strom'!J124)</f>
        <v>0</v>
      </c>
      <c r="L129" s="54" t="n">
        <f aca="false">SUM('Ablesewerte Strom'!L124-'Ablesewerte Strom'!K124)</f>
        <v>0</v>
      </c>
      <c r="M129" s="54" t="n">
        <f aca="false">SUM('Ablesewerte Strom'!M124-'Ablesewerte Strom'!L124)</f>
        <v>0</v>
      </c>
      <c r="N129" s="54" t="n">
        <f aca="false">SUM('Ablesewerte Strom'!N124-'Ablesewerte Strom'!C124)</f>
        <v>348.100000000006</v>
      </c>
      <c r="O129" s="54" t="n">
        <f aca="false">SUM('Ablesewerte Strom'!O124-'Ablesewerte Strom'!N124)</f>
        <v>49.0999999999985</v>
      </c>
      <c r="Q129" s="54" t="n">
        <f aca="false">SUM(D129:P129)</f>
        <v>607.000000000007</v>
      </c>
    </row>
    <row r="130" customFormat="false" ht="12.75" hidden="false" customHeight="false" outlineLevel="0" collapsed="false">
      <c r="A130" s="1" t="s">
        <v>31</v>
      </c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</row>
    <row r="131" customFormat="false" ht="12.75" hidden="false" customHeight="false" outlineLevel="0" collapsed="false"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Q131" s="54" t="n">
        <f aca="false">SUM(D130:O131)</f>
        <v>0</v>
      </c>
    </row>
    <row r="132" customFormat="false" ht="12.75" hidden="false" customHeight="false" outlineLevel="0" collapsed="false">
      <c r="A132" s="1" t="s">
        <v>48</v>
      </c>
      <c r="D132" s="54" t="n">
        <f aca="false">SUM('Ablesewerte Strom'!D126-'Ablesewerte Strom'!C126)</f>
        <v>60.0200000000004</v>
      </c>
      <c r="E132" s="54" t="n">
        <f aca="false">SUM('Ablesewerte Strom'!E126-'Ablesewerte Strom'!D126)</f>
        <v>57.9499999999989</v>
      </c>
      <c r="F132" s="54" t="n">
        <f aca="false">SUM('Ablesewerte Strom'!F126-'Ablesewerte Strom'!E126)</f>
        <v>71.380000000001</v>
      </c>
      <c r="G132" s="54" t="n">
        <f aca="false">SUM('Ablesewerte Strom'!G126-'Ablesewerte Strom'!F126)</f>
        <v>31.5200000000004</v>
      </c>
      <c r="H132" s="54" t="n">
        <f aca="false">SUM('Ablesewerte Strom'!H126-'Ablesewerte Strom'!G126)</f>
        <v>35.6899999999987</v>
      </c>
      <c r="I132" s="54" t="n">
        <f aca="false">SUM('Ablesewerte Strom'!I126-'Ablesewerte Strom'!H126)</f>
        <v>43.5900000000001</v>
      </c>
      <c r="J132" s="54" t="n">
        <f aca="false">SUM('Ablesewerte Strom'!J126-'Ablesewerte Strom'!I126)</f>
        <v>33.4400000000005</v>
      </c>
      <c r="K132" s="54" t="n">
        <f aca="false">SUM('Ablesewerte Strom'!K126-'Ablesewerte Strom'!J126)</f>
        <v>7.73999999999978</v>
      </c>
      <c r="L132" s="54" t="n">
        <f aca="false">SUM('Ablesewerte Strom'!L126-'Ablesewerte Strom'!K126)</f>
        <v>54.4400000000005</v>
      </c>
      <c r="M132" s="54" t="n">
        <f aca="false">SUM('Ablesewerte Strom'!M126-'Ablesewerte Strom'!L126)</f>
        <v>71.7399999999998</v>
      </c>
      <c r="N132" s="54" t="n">
        <f aca="false">SUM('Ablesewerte Strom'!N126-'Ablesewerte Strom'!M126)</f>
        <v>68.619999999999</v>
      </c>
      <c r="O132" s="54" t="n">
        <f aca="false">SUM('Ablesewerte Strom'!O126-'Ablesewerte Strom'!N126)</f>
        <v>54.3900000000012</v>
      </c>
      <c r="P132" s="54" t="n">
        <f aca="false">SUM(D132:O132)</f>
        <v>590.52</v>
      </c>
    </row>
    <row r="133" customFormat="false" ht="12.75" hidden="false" customHeight="false" outlineLevel="0" collapsed="false">
      <c r="A133" s="1" t="s">
        <v>49</v>
      </c>
      <c r="D133" s="54" t="n">
        <f aca="false">SUM('Ablesewerte Strom'!D127-'Ablesewerte Strom'!C127)</f>
        <v>22.6300000000001</v>
      </c>
      <c r="E133" s="54" t="n">
        <f aca="false">SUM('Ablesewerte Strom'!E127-'Ablesewerte Strom'!D127)</f>
        <v>20.75</v>
      </c>
      <c r="F133" s="54" t="n">
        <f aca="false">SUM('Ablesewerte Strom'!F127-'Ablesewerte Strom'!E127)</f>
        <v>25.8499999999999</v>
      </c>
      <c r="G133" s="54" t="n">
        <f aca="false">SUM('Ablesewerte Strom'!G127-'Ablesewerte Strom'!F127)</f>
        <v>17.25</v>
      </c>
      <c r="H133" s="54" t="n">
        <f aca="false">SUM('Ablesewerte Strom'!H127-'Ablesewerte Strom'!G127)</f>
        <v>20.3499999999999</v>
      </c>
      <c r="I133" s="54" t="n">
        <f aca="false">SUM('Ablesewerte Strom'!I127-'Ablesewerte Strom'!H127)</f>
        <v>20.5</v>
      </c>
      <c r="J133" s="54" t="n">
        <f aca="false">SUM('Ablesewerte Strom'!J127-'Ablesewerte Strom'!I127)</f>
        <v>23.4200000000001</v>
      </c>
      <c r="K133" s="54" t="n">
        <f aca="false">SUM('Ablesewerte Strom'!K127-'Ablesewerte Strom'!J127)</f>
        <v>10.4200000000001</v>
      </c>
      <c r="L133" s="54" t="n">
        <f aca="false">SUM('Ablesewerte Strom'!L127-'Ablesewerte Strom'!K127)</f>
        <v>21.6099999999997</v>
      </c>
      <c r="M133" s="54" t="n">
        <f aca="false">SUM('Ablesewerte Strom'!M127-'Ablesewerte Strom'!L127)</f>
        <v>27.2200000000003</v>
      </c>
      <c r="N133" s="54" t="n">
        <f aca="false">SUM('Ablesewerte Strom'!N127-'Ablesewerte Strom'!M127)</f>
        <v>26.6599999999999</v>
      </c>
      <c r="O133" s="54" t="n">
        <f aca="false">SUM('Ablesewerte Strom'!O127-'Ablesewerte Strom'!N127)</f>
        <v>24.1900000000005</v>
      </c>
      <c r="P133" s="54" t="n">
        <f aca="false">SUM(D133:O133)</f>
        <v>260.85</v>
      </c>
    </row>
    <row r="134" customFormat="false" ht="12.75" hidden="false" customHeight="false" outlineLevel="0" collapsed="false">
      <c r="A134" s="1" t="s">
        <v>50</v>
      </c>
      <c r="D134" s="54" t="n">
        <f aca="false">SUM('Ablesewerte Strom'!D128-'Ablesewerte Strom'!C128)</f>
        <v>882.900000000002</v>
      </c>
      <c r="E134" s="54" t="n">
        <f aca="false">SUM('Ablesewerte Strom'!E128-'Ablesewerte Strom'!D128)</f>
        <v>863.799999999999</v>
      </c>
      <c r="F134" s="54" t="n">
        <f aca="false">SUM('Ablesewerte Strom'!F128-'Ablesewerte Strom'!E128)</f>
        <v>1005.6</v>
      </c>
      <c r="G134" s="54" t="n">
        <f aca="false">SUM('Ablesewerte Strom'!G128-'Ablesewerte Strom'!F128)</f>
        <v>714.5</v>
      </c>
      <c r="H134" s="54" t="n">
        <f aca="false">SUM('Ablesewerte Strom'!H128-'Ablesewerte Strom'!G128)</f>
        <v>759</v>
      </c>
      <c r="I134" s="54" t="n">
        <f aca="false">SUM('Ablesewerte Strom'!I128-'Ablesewerte Strom'!H128)</f>
        <v>703.599999999999</v>
      </c>
      <c r="J134" s="54" t="n">
        <f aca="false">SUM('Ablesewerte Strom'!J128-'Ablesewerte Strom'!I128)</f>
        <v>635.800000000003</v>
      </c>
      <c r="K134" s="54" t="n">
        <f aca="false">SUM('Ablesewerte Strom'!K128-'Ablesewerte Strom'!J128)</f>
        <v>358.300000000003</v>
      </c>
      <c r="L134" s="54" t="n">
        <f aca="false">SUM('Ablesewerte Strom'!L128-'Ablesewerte Strom'!K128)</f>
        <v>598.399999999994</v>
      </c>
      <c r="M134" s="54" t="n">
        <f aca="false">SUM('Ablesewerte Strom'!M128-'Ablesewerte Strom'!L128)</f>
        <v>960.700000000004</v>
      </c>
      <c r="N134" s="54" t="n">
        <f aca="false">SUM('Ablesewerte Strom'!N128-'Ablesewerte Strom'!M128)</f>
        <v>1031.6</v>
      </c>
      <c r="O134" s="54" t="n">
        <f aca="false">SUM('Ablesewerte Strom'!O128-'Ablesewerte Strom'!N128)</f>
        <v>996.800000000003</v>
      </c>
      <c r="P134" s="54" t="n">
        <f aca="false">SUM(D134:O134)</f>
        <v>9511</v>
      </c>
    </row>
    <row r="135" customFormat="false" ht="12.75" hidden="false" customHeight="false" outlineLevel="0" collapsed="false">
      <c r="A135" s="1" t="s">
        <v>39</v>
      </c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</row>
    <row r="136" customFormat="false" ht="12.75" hidden="false" customHeight="false" outlineLevel="0" collapsed="false"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Q136" s="54" t="n">
        <f aca="false">SUM(D135:O136)</f>
        <v>0</v>
      </c>
    </row>
    <row r="137" customFormat="false" ht="12.75" hidden="false" customHeight="false" outlineLevel="0" collapsed="false">
      <c r="A137" s="1" t="s">
        <v>53</v>
      </c>
      <c r="D137" s="54" t="n">
        <f aca="false">SUM('Ablesewerte Strom'!D130-'Ablesewerte Strom'!C130)</f>
        <v>1489.70000000001</v>
      </c>
      <c r="E137" s="54" t="n">
        <f aca="false">SUM('Ablesewerte Strom'!E130-'Ablesewerte Strom'!D130)</f>
        <v>754</v>
      </c>
      <c r="F137" s="54" t="n">
        <f aca="false">SUM('Ablesewerte Strom'!F130-'Ablesewerte Strom'!E130)</f>
        <v>610.600000000006</v>
      </c>
      <c r="G137" s="54" t="n">
        <f aca="false">SUM('Ablesewerte Strom'!G130-'Ablesewerte Strom'!F130)</f>
        <v>501.699999999983</v>
      </c>
      <c r="H137" s="54" t="n">
        <f aca="false">SUM('Ablesewerte Strom'!H130-'Ablesewerte Strom'!G130)</f>
        <v>636.100000000006</v>
      </c>
      <c r="I137" s="54" t="n">
        <f aca="false">SUM('Ablesewerte Strom'!I130-'Ablesewerte Strom'!H130)</f>
        <v>186</v>
      </c>
      <c r="J137" s="54" t="n">
        <f aca="false">SUM('Ablesewerte Strom'!J130-'Ablesewerte Strom'!I130)</f>
        <v>644.200000000012</v>
      </c>
      <c r="K137" s="54" t="n">
        <f aca="false">SUM('Ablesewerte Strom'!K130-'Ablesewerte Strom'!J130)</f>
        <v>525.899999999994</v>
      </c>
      <c r="L137" s="54" t="n">
        <f aca="false">SUM('Ablesewerte Strom'!L130-'Ablesewerte Strom'!K130)</f>
        <v>440.799999999988</v>
      </c>
      <c r="M137" s="54" t="n">
        <f aca="false">SUM('Ablesewerte Strom'!M130-'Ablesewerte Strom'!L130)</f>
        <v>701.899999999994</v>
      </c>
      <c r="N137" s="54" t="n">
        <f aca="false">SUM('Ablesewerte Strom'!N130-'Ablesewerte Strom'!M130)</f>
        <v>631.600000000006</v>
      </c>
      <c r="O137" s="54" t="n">
        <f aca="false">SUM('Ablesewerte Strom'!O130-'Ablesewerte Strom'!N130)</f>
        <v>861.5</v>
      </c>
      <c r="P137" s="54" t="n">
        <f aca="false">SUM(D137:O137)</f>
        <v>7984</v>
      </c>
      <c r="Q137" s="1" t="s">
        <v>54</v>
      </c>
      <c r="R137" s="81" t="n">
        <f aca="false">SUM(Q126:Q136)</f>
        <v>50859.5900000001</v>
      </c>
    </row>
    <row r="138" customFormat="false" ht="12.75" hidden="false" customHeight="false" outlineLevel="0" collapsed="false">
      <c r="A138" s="82" t="s">
        <v>41</v>
      </c>
      <c r="B138" s="23"/>
      <c r="C138" s="24"/>
      <c r="D138" s="54" t="n">
        <f aca="false">SUM('Ablesewerte Strom'!D131-'Ablesewerte Strom'!C131)</f>
        <v>19055</v>
      </c>
      <c r="E138" s="54" t="n">
        <f aca="false">SUM('Ablesewerte Strom'!E131-'Ablesewerte Strom'!D131)</f>
        <v>22081</v>
      </c>
      <c r="F138" s="54" t="n">
        <f aca="false">SUM('Ablesewerte Strom'!F131-'Ablesewerte Strom'!E131)</f>
        <v>23521</v>
      </c>
      <c r="G138" s="54" t="n">
        <f aca="false">SUM('Ablesewerte Strom'!G131-'Ablesewerte Strom'!F131)</f>
        <v>6882</v>
      </c>
      <c r="H138" s="54" t="n">
        <f aca="false">SUM('Ablesewerte Strom'!H131-'Ablesewerte Strom'!G131)</f>
        <v>7534</v>
      </c>
      <c r="I138" s="54" t="n">
        <f aca="false">SUM('Ablesewerte Strom'!I131-'Ablesewerte Strom'!H131)</f>
        <v>5736</v>
      </c>
      <c r="J138" s="54" t="n">
        <f aca="false">SUM('Ablesewerte Strom'!J131-'Ablesewerte Strom'!I131)</f>
        <v>7576</v>
      </c>
      <c r="K138" s="54" t="n">
        <f aca="false">SUM('Ablesewerte Strom'!K131-'Ablesewerte Strom'!J131)</f>
        <v>5529</v>
      </c>
      <c r="L138" s="54" t="n">
        <f aca="false">SUM('Ablesewerte Strom'!L131-'Ablesewerte Strom'!K131)</f>
        <v>6429</v>
      </c>
      <c r="M138" s="54" t="n">
        <f aca="false">SUM('Ablesewerte Strom'!M131-'Ablesewerte Strom'!L131)</f>
        <v>13923</v>
      </c>
      <c r="N138" s="54" t="n">
        <f aca="false">SUM('Ablesewerte Strom'!N131-'Ablesewerte Strom'!M131)</f>
        <v>22307</v>
      </c>
      <c r="O138" s="54" t="n">
        <f aca="false">SUM('Ablesewerte Strom'!O131-'Ablesewerte Strom'!N131)</f>
        <v>27984</v>
      </c>
      <c r="P138" s="23"/>
      <c r="Q138" s="23"/>
      <c r="R138" s="23"/>
    </row>
    <row r="139" customFormat="false" ht="13.8" hidden="false" customHeight="false" outlineLevel="0" collapsed="false">
      <c r="A139" s="83" t="s">
        <v>42</v>
      </c>
      <c r="B139" s="23"/>
      <c r="C139" s="24"/>
      <c r="D139" s="54" t="n">
        <f aca="false">SUM('Ablesewerte Strom'!D132-'Ablesewerte Strom'!C132)</f>
        <v>49.0999999999999</v>
      </c>
      <c r="E139" s="54" t="n">
        <f aca="false">SUM('Ablesewerte Strom'!E132-'Ablesewerte Strom'!D132)</f>
        <v>70.5</v>
      </c>
      <c r="F139" s="54" t="n">
        <f aca="false">SUM('Ablesewerte Strom'!F132-'Ablesewerte Strom'!E132)</f>
        <v>77.6000000000004</v>
      </c>
      <c r="G139" s="54" t="n">
        <f aca="false">SUM('Ablesewerte Strom'!G132-'Ablesewerte Strom'!F132)</f>
        <v>20.5999999999999</v>
      </c>
      <c r="H139" s="54" t="n">
        <f aca="false">SUM('Ablesewerte Strom'!H132-'Ablesewerte Strom'!G132)</f>
        <v>34.4000000000001</v>
      </c>
      <c r="I139" s="54" t="n">
        <f aca="false">SUM('Ablesewerte Strom'!I132-'Ablesewerte Strom'!H132)</f>
        <v>21.1999999999998</v>
      </c>
      <c r="J139" s="54" t="n">
        <f aca="false">SUM('Ablesewerte Strom'!J132-'Ablesewerte Strom'!I132)</f>
        <v>37</v>
      </c>
      <c r="K139" s="54" t="n">
        <f aca="false">SUM('Ablesewerte Strom'!K132-'Ablesewerte Strom'!J132)</f>
        <v>32</v>
      </c>
      <c r="L139" s="54" t="n">
        <f aca="false">SUM('Ablesewerte Strom'!L132-'Ablesewerte Strom'!K132)</f>
        <v>25.6999999999998</v>
      </c>
      <c r="M139" s="54" t="n">
        <f aca="false">SUM('Ablesewerte Strom'!M132-'Ablesewerte Strom'!L132)</f>
        <v>52.1000000000004</v>
      </c>
      <c r="N139" s="54" t="n">
        <f aca="false">SUM('Ablesewerte Strom'!N132-'Ablesewerte Strom'!M132)</f>
        <v>65.8999999999996</v>
      </c>
      <c r="O139" s="54" t="n">
        <f aca="false">SUM('Ablesewerte Strom'!O132-'Ablesewerte Strom'!N132)</f>
        <v>116.1</v>
      </c>
      <c r="P139" s="23"/>
      <c r="Q139" s="23"/>
      <c r="R139" s="23"/>
    </row>
    <row r="140" customFormat="false" ht="12.75" hidden="false" customHeight="false" outlineLevel="0" collapsed="false">
      <c r="A140" s="82" t="s">
        <v>43</v>
      </c>
      <c r="B140" s="23"/>
      <c r="C140" s="23"/>
      <c r="D140" s="54" t="n">
        <f aca="false">SUM('Ablesewerte Strom'!D133-'Ablesewerte Strom'!C133)</f>
        <v>616</v>
      </c>
      <c r="E140" s="54" t="n">
        <f aca="false">SUM('Ablesewerte Strom'!E133-'Ablesewerte Strom'!D133)</f>
        <v>1624</v>
      </c>
      <c r="F140" s="54" t="n">
        <f aca="false">SUM('Ablesewerte Strom'!F133-'Ablesewerte Strom'!E133)</f>
        <v>2514</v>
      </c>
      <c r="G140" s="54" t="n">
        <f aca="false">SUM('Ablesewerte Strom'!G133-'Ablesewerte Strom'!F133)</f>
        <v>3676</v>
      </c>
      <c r="H140" s="54" t="n">
        <f aca="false">SUM('Ablesewerte Strom'!H133-'Ablesewerte Strom'!G133)</f>
        <v>4716</v>
      </c>
      <c r="I140" s="54" t="n">
        <f aca="false">SUM('Ablesewerte Strom'!I133-'Ablesewerte Strom'!H133)</f>
        <v>3926</v>
      </c>
      <c r="J140" s="54" t="n">
        <f aca="false">SUM('Ablesewerte Strom'!J133-'Ablesewerte Strom'!I133)</f>
        <v>5004</v>
      </c>
      <c r="K140" s="54" t="n">
        <f aca="false">SUM('Ablesewerte Strom'!K133-'Ablesewerte Strom'!J133)</f>
        <v>3017</v>
      </c>
      <c r="L140" s="54" t="n">
        <f aca="false">SUM('Ablesewerte Strom'!L133-'Ablesewerte Strom'!K133)</f>
        <v>3271</v>
      </c>
      <c r="M140" s="54" t="n">
        <f aca="false">SUM('Ablesewerte Strom'!M133-'Ablesewerte Strom'!L133)</f>
        <v>2630</v>
      </c>
      <c r="N140" s="54" t="n">
        <f aca="false">SUM('Ablesewerte Strom'!N133-'Ablesewerte Strom'!M133)</f>
        <v>1021</v>
      </c>
      <c r="O140" s="54" t="n">
        <f aca="false">SUM('Ablesewerte Strom'!O133-'Ablesewerte Strom'!N133)</f>
        <v>473</v>
      </c>
      <c r="P140" s="23"/>
      <c r="Q140" s="23"/>
      <c r="R140" s="23"/>
    </row>
    <row r="141" customFormat="false" ht="12.75" hidden="false" customHeight="false" outlineLevel="0" collapsed="false">
      <c r="F141" s="1" t="s">
        <v>55</v>
      </c>
    </row>
    <row r="145" customFormat="false" ht="15" hidden="false" customHeight="false" outlineLevel="0" collapsed="false">
      <c r="A145" s="2" t="n">
        <v>2019</v>
      </c>
    </row>
    <row r="146" customFormat="false" ht="15" hidden="false" customHeight="false" outlineLevel="0" collapsed="false">
      <c r="A146" s="2" t="s">
        <v>23</v>
      </c>
      <c r="D146" s="79" t="s">
        <v>2</v>
      </c>
      <c r="E146" s="79" t="s">
        <v>3</v>
      </c>
      <c r="F146" s="79" t="s">
        <v>4</v>
      </c>
      <c r="G146" s="79" t="s">
        <v>5</v>
      </c>
      <c r="H146" s="79" t="s">
        <v>6</v>
      </c>
      <c r="I146" s="79" t="s">
        <v>7</v>
      </c>
      <c r="J146" s="79" t="s">
        <v>8</v>
      </c>
      <c r="K146" s="79" t="s">
        <v>9</v>
      </c>
      <c r="L146" s="79" t="s">
        <v>10</v>
      </c>
      <c r="M146" s="79" t="s">
        <v>11</v>
      </c>
      <c r="N146" s="79" t="s">
        <v>12</v>
      </c>
      <c r="O146" s="79" t="s">
        <v>13</v>
      </c>
    </row>
    <row r="148" customFormat="false" ht="12.75" hidden="false" customHeight="false" outlineLevel="0" collapsed="false">
      <c r="A148" s="1" t="s">
        <v>27</v>
      </c>
      <c r="D148" s="54" t="n">
        <f aca="false">SUM('Ablesewerte Strom'!D139-'Ablesewerte Strom'!C139)</f>
        <v>2349.69999999995</v>
      </c>
      <c r="E148" s="54" t="n">
        <f aca="false">SUM('Ablesewerte Strom'!E139-'Ablesewerte Strom'!D139)</f>
        <v>2333.69999999995</v>
      </c>
      <c r="F148" s="54" t="n">
        <f aca="false">SUM('Ablesewerte Strom'!F139-'Ablesewerte Strom'!E139)</f>
        <v>2157</v>
      </c>
      <c r="G148" s="54" t="n">
        <f aca="false">SUM('Ablesewerte Strom'!G139-'Ablesewerte Strom'!F139)</f>
        <v>1962.10000000009</v>
      </c>
      <c r="H148" s="54" t="n">
        <f aca="false">SUM('Ablesewerte Strom'!H139-'Ablesewerte Strom'!G139)</f>
        <v>2186.5</v>
      </c>
      <c r="I148" s="54" t="n">
        <f aca="false">SUM('Ablesewerte Strom'!I139-'Ablesewerte Strom'!H139)</f>
        <v>1291.39999999991</v>
      </c>
      <c r="J148" s="54" t="n">
        <f aca="false">SUM('Ablesewerte Strom'!J139-'Ablesewerte Strom'!I139)</f>
        <v>2203.10000000009</v>
      </c>
      <c r="K148" s="54" t="n">
        <f aca="false">SUM('Ablesewerte Strom'!K139-'Ablesewerte Strom'!J139)</f>
        <v>1341.29999999993</v>
      </c>
      <c r="L148" s="54" t="n">
        <f aca="false">SUM('Ablesewerte Strom'!L139-'Ablesewerte Strom'!K139)</f>
        <v>1509.20000000007</v>
      </c>
      <c r="M148" s="54" t="n">
        <f aca="false">SUM('Ablesewerte Strom'!M139-'Ablesewerte Strom'!L139)</f>
        <v>2001.69999999995</v>
      </c>
      <c r="N148" s="54" t="n">
        <f aca="false">SUM('Ablesewerte Strom'!N139-'Ablesewerte Strom'!M139)</f>
        <v>3647.19999999995</v>
      </c>
      <c r="O148" s="54" t="n">
        <f aca="false">SUM('Ablesewerte Strom'!O139-'Ablesewerte Strom'!N139)</f>
        <v>1268.5</v>
      </c>
      <c r="Q148" s="54" t="n">
        <f aca="false">SUM(D148:O148)</f>
        <v>24251.3999999999</v>
      </c>
    </row>
    <row r="149" customFormat="false" ht="12.75" hidden="false" customHeight="false" outlineLevel="0" collapsed="false">
      <c r="A149" s="1" t="s">
        <v>28</v>
      </c>
      <c r="D149" s="54" t="n">
        <f aca="false">SUM('Ablesewerte Strom'!D140-'Ablesewerte Strom'!C140)</f>
        <v>1686.09999999998</v>
      </c>
      <c r="E149" s="54" t="n">
        <f aca="false">SUM('Ablesewerte Strom'!E140-'Ablesewerte Strom'!D140)</f>
        <v>1661.5</v>
      </c>
      <c r="F149" s="54" t="n">
        <f aca="false">SUM('Ablesewerte Strom'!F140-'Ablesewerte Strom'!E140)</f>
        <v>1519.79999999999</v>
      </c>
      <c r="G149" s="54" t="n">
        <f aca="false">SUM('Ablesewerte Strom'!G140-'Ablesewerte Strom'!F140)</f>
        <v>1398.70000000001</v>
      </c>
      <c r="H149" s="54" t="n">
        <f aca="false">SUM('Ablesewerte Strom'!H140-'Ablesewerte Strom'!G140)</f>
        <v>1513.60000000004</v>
      </c>
      <c r="I149" s="54" t="n">
        <f aca="false">SUM('Ablesewerte Strom'!I144-'Ablesewerte Strom'!H144)</f>
        <v>34.6399999999994</v>
      </c>
      <c r="J149" s="54" t="n">
        <f aca="false">SUM('Ablesewerte Strom'!J144-'Ablesewerte Strom'!I144)</f>
        <v>94.960000000001</v>
      </c>
      <c r="K149" s="54" t="n">
        <f aca="false">SUM('Ablesewerte Strom'!K144-'Ablesewerte Strom'!J144)</f>
        <v>15.1899999999987</v>
      </c>
      <c r="L149" s="54" t="n">
        <f aca="false">SUM('Ablesewerte Strom'!L144-'Ablesewerte Strom'!K144)</f>
        <v>47.0100000000002</v>
      </c>
      <c r="M149" s="54" t="n">
        <f aca="false">SUM('Ablesewerte Strom'!M144-'Ablesewerte Strom'!L144)</f>
        <v>53.8000000000011</v>
      </c>
      <c r="N149" s="54" t="n">
        <f aca="false">SUM('Ablesewerte Strom'!N144-'Ablesewerte Strom'!M144)</f>
        <v>80.0399999999991</v>
      </c>
      <c r="O149" s="54" t="n">
        <f aca="false">SUM('Ablesewerte Strom'!O144-'Ablesewerte Strom'!N144)</f>
        <v>27.5100000000002</v>
      </c>
      <c r="Q149" s="54" t="n">
        <f aca="false">SUM(D149:O149)</f>
        <v>8132.85000000001</v>
      </c>
    </row>
    <row r="150" customFormat="false" ht="12.75" hidden="false" customHeight="false" outlineLevel="0" collapsed="false">
      <c r="A150" s="1" t="s">
        <v>29</v>
      </c>
      <c r="D150" s="54" t="n">
        <f aca="false">SUM('Ablesewerte Strom'!D141-'Ablesewerte Strom'!C141)</f>
        <v>0</v>
      </c>
      <c r="E150" s="54" t="n">
        <f aca="false">SUM('Ablesewerte Strom'!E141-'Ablesewerte Strom'!D141)</f>
        <v>0</v>
      </c>
      <c r="F150" s="54" t="n">
        <f aca="false">SUM('Ablesewerte Strom'!F141-'Ablesewerte Strom'!E141)</f>
        <v>0</v>
      </c>
      <c r="G150" s="54" t="n">
        <f aca="false">SUM('Ablesewerte Strom'!G141-'Ablesewerte Strom'!F141)</f>
        <v>0</v>
      </c>
      <c r="H150" s="54" t="n">
        <f aca="false">SUM('Ablesewerte Strom'!H141-'Ablesewerte Strom'!G141)</f>
        <v>0</v>
      </c>
      <c r="I150" s="54" t="n">
        <f aca="false">SUM('Ablesewerte Strom'!I141-'Ablesewerte Strom'!H141)</f>
        <v>3014.1</v>
      </c>
      <c r="J150" s="54" t="n">
        <f aca="false">SUM('Ablesewerte Strom'!J141-'Ablesewerte Strom'!I141)</f>
        <v>692.400000000002</v>
      </c>
      <c r="K150" s="54" t="n">
        <f aca="false">SUM('Ablesewerte Strom'!K141-'Ablesewerte Strom'!J141)</f>
        <v>329.599999999999</v>
      </c>
      <c r="L150" s="54" t="n">
        <f aca="false">SUM('Ablesewerte Strom'!L141-'Ablesewerte Strom'!K141)</f>
        <v>360.800000000003</v>
      </c>
      <c r="M150" s="54" t="n">
        <f aca="false">SUM('Ablesewerte Strom'!M141-'Ablesewerte Strom'!L141)</f>
        <v>0</v>
      </c>
      <c r="N150" s="54" t="n">
        <f aca="false">SUM('Ablesewerte Strom'!N141-'Ablesewerte Strom'!M141)</f>
        <v>0</v>
      </c>
      <c r="O150" s="54" t="n">
        <f aca="false">SUM('Ablesewerte Strom'!O148-'Ablesewerte Strom'!N148)</f>
        <v>288.299999999988</v>
      </c>
      <c r="Q150" s="54" t="n">
        <f aca="false">SUM(D150:P150)</f>
        <v>4685.19999999999</v>
      </c>
    </row>
    <row r="151" customFormat="false" ht="12.75" hidden="false" customHeight="false" outlineLevel="0" collapsed="false">
      <c r="A151" s="1" t="s">
        <v>30</v>
      </c>
      <c r="D151" s="54" t="n">
        <f aca="false">SUM('Ablesewerte Strom'!D142-'Ablesewerte Strom'!C142)</f>
        <v>0</v>
      </c>
      <c r="E151" s="54" t="n">
        <f aca="false">SUM('Ablesewerte Strom'!E142-'Ablesewerte Strom'!D142)</f>
        <v>0</v>
      </c>
      <c r="F151" s="54" t="n">
        <f aca="false">SUM('Ablesewerte Strom'!F142-'Ablesewerte Strom'!E142)</f>
        <v>0</v>
      </c>
      <c r="G151" s="54" t="n">
        <f aca="false">SUM('Ablesewerte Strom'!G142-'Ablesewerte Strom'!F142)</f>
        <v>0</v>
      </c>
      <c r="H151" s="54" t="n">
        <f aca="false">SUM('Ablesewerte Strom'!H142-'Ablesewerte Strom'!G142)</f>
        <v>0</v>
      </c>
      <c r="I151" s="54" t="n">
        <f aca="false">SUM('Ablesewerte Strom'!I142-'Ablesewerte Strom'!H142)</f>
        <v>207.699999999997</v>
      </c>
      <c r="J151" s="54" t="n">
        <f aca="false">SUM('Ablesewerte Strom'!J142-'Ablesewerte Strom'!I142)</f>
        <v>25.7000000000044</v>
      </c>
      <c r="K151" s="54" t="n">
        <f aca="false">SUM('Ablesewerte Strom'!K146-'Ablesewerte Strom'!J146)</f>
        <v>359</v>
      </c>
      <c r="L151" s="54" t="n">
        <f aca="false">SUM('Ablesewerte Strom'!L146-'Ablesewerte Strom'!K146)</f>
        <v>584.400000000002</v>
      </c>
      <c r="M151" s="54" t="n">
        <f aca="false">SUM('Ablesewerte Strom'!M146-'Ablesewerte Strom'!L146)</f>
        <v>746.099999999999</v>
      </c>
      <c r="N151" s="54" t="n">
        <f aca="false">SUM('Ablesewerte Strom'!N146-'Ablesewerte Strom'!M146)</f>
        <v>1339.3</v>
      </c>
      <c r="O151" s="54" t="n">
        <f aca="false">SUM('Ablesewerte Strom'!O146-'Ablesewerte Strom'!N146)</f>
        <v>488.700000000004</v>
      </c>
      <c r="Q151" s="54" t="n">
        <f aca="false">SUM(D151:P151)</f>
        <v>3750.9</v>
      </c>
    </row>
    <row r="152" customFormat="false" ht="12.75" hidden="false" customHeight="false" outlineLevel="0" collapsed="false">
      <c r="A152" s="1" t="s">
        <v>31</v>
      </c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</row>
    <row r="153" customFormat="false" ht="12.75" hidden="false" customHeight="false" outlineLevel="0" collapsed="false"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Q153" s="54" t="n">
        <f aca="false">SUM(D152:O153)</f>
        <v>0</v>
      </c>
    </row>
    <row r="154" customFormat="false" ht="12.75" hidden="false" customHeight="false" outlineLevel="0" collapsed="false">
      <c r="A154" s="1" t="s">
        <v>48</v>
      </c>
      <c r="D154" s="54" t="n">
        <f aca="false">SUM('Ablesewerte Strom'!D144-'Ablesewerte Strom'!C144)</f>
        <v>60.1999999999989</v>
      </c>
      <c r="E154" s="54" t="n">
        <f aca="false">SUM('Ablesewerte Strom'!E144-'Ablesewerte Strom'!D144)</f>
        <v>67.880000000001</v>
      </c>
      <c r="F154" s="54" t="n">
        <f aca="false">SUM('Ablesewerte Strom'!F144-'Ablesewerte Strom'!E144)</f>
        <v>56.9400000000005</v>
      </c>
      <c r="G154" s="54" t="n">
        <f aca="false">SUM('Ablesewerte Strom'!G144-'Ablesewerte Strom'!F144)</f>
        <v>50.2899999999991</v>
      </c>
      <c r="H154" s="54" t="n">
        <f aca="false">SUM('Ablesewerte Strom'!H144-'Ablesewerte Strom'!G144)</f>
        <v>71.9400000000005</v>
      </c>
      <c r="I154" s="54" t="n">
        <f aca="false">SUM('Ablesewerte Strom'!I144-'Ablesewerte Strom'!H144)</f>
        <v>34.6399999999994</v>
      </c>
      <c r="J154" s="54" t="n">
        <f aca="false">SUM('Ablesewerte Strom'!J144-'Ablesewerte Strom'!I144)</f>
        <v>94.960000000001</v>
      </c>
      <c r="K154" s="54" t="n">
        <f aca="false">SUM('Ablesewerte Strom'!K144-'Ablesewerte Strom'!J144)</f>
        <v>15.1899999999987</v>
      </c>
      <c r="L154" s="54" t="n">
        <f aca="false">SUM('Ablesewerte Strom'!L144-'Ablesewerte Strom'!K144)</f>
        <v>47.0100000000002</v>
      </c>
      <c r="M154" s="54" t="n">
        <f aca="false">SUM('Ablesewerte Strom'!M144-'Ablesewerte Strom'!L144)</f>
        <v>53.8000000000011</v>
      </c>
      <c r="N154" s="54" t="n">
        <f aca="false">SUM('Ablesewerte Strom'!N144-'Ablesewerte Strom'!M144)</f>
        <v>80.0399999999991</v>
      </c>
      <c r="O154" s="54" t="n">
        <f aca="false">SUM('Ablesewerte Strom'!O144-'Ablesewerte Strom'!N144)</f>
        <v>27.5100000000002</v>
      </c>
      <c r="P154" s="54" t="n">
        <f aca="false">SUM(D154:O154)</f>
        <v>660.4</v>
      </c>
    </row>
    <row r="155" customFormat="false" ht="12.75" hidden="false" customHeight="false" outlineLevel="0" collapsed="false">
      <c r="A155" s="1" t="s">
        <v>49</v>
      </c>
      <c r="D155" s="54" t="n">
        <f aca="false">SUM('Ablesewerte Strom'!D145-'Ablesewerte Strom'!C145)</f>
        <v>26.5199999999995</v>
      </c>
      <c r="E155" s="54" t="n">
        <f aca="false">SUM('Ablesewerte Strom'!E145-'Ablesewerte Strom'!D145)</f>
        <v>26.71</v>
      </c>
      <c r="F155" s="54" t="n">
        <f aca="false">SUM('Ablesewerte Strom'!F145-'Ablesewerte Strom'!E145)</f>
        <v>27.8100000000004</v>
      </c>
      <c r="G155" s="54" t="n">
        <f aca="false">SUM('Ablesewerte Strom'!G145-'Ablesewerte Strom'!F145)</f>
        <v>30.5599999999995</v>
      </c>
      <c r="H155" s="54" t="n">
        <f aca="false">SUM('Ablesewerte Strom'!H145-'Ablesewerte Strom'!G145)</f>
        <v>39.8299999999999</v>
      </c>
      <c r="I155" s="54" t="n">
        <f aca="false">SUM('Ablesewerte Strom'!I145-'Ablesewerte Strom'!H145)</f>
        <v>25.2399999999998</v>
      </c>
      <c r="J155" s="54" t="n">
        <f aca="false">SUM('Ablesewerte Strom'!J145-'Ablesewerte Strom'!I145)</f>
        <v>50.0600000000004</v>
      </c>
      <c r="K155" s="54" t="n">
        <f aca="false">SUM('Ablesewerte Strom'!K145-'Ablesewerte Strom'!J145)</f>
        <v>18.7299999999996</v>
      </c>
      <c r="L155" s="54" t="n">
        <f aca="false">SUM('Ablesewerte Strom'!L145-'Ablesewerte Strom'!K145)</f>
        <v>24.2900000000009</v>
      </c>
      <c r="M155" s="54" t="n">
        <f aca="false">SUM('Ablesewerte Strom'!M145-'Ablesewerte Strom'!L145)</f>
        <v>28.75</v>
      </c>
      <c r="N155" s="54" t="n">
        <f aca="false">SUM('Ablesewerte Strom'!N145-'Ablesewerte Strom'!M145)</f>
        <v>51.3999999999996</v>
      </c>
      <c r="O155" s="54" t="n">
        <f aca="false">SUM('Ablesewerte Strom'!O145-'Ablesewerte Strom'!N145)</f>
        <v>18.75</v>
      </c>
      <c r="P155" s="54" t="n">
        <f aca="false">SUM(D155:O155)</f>
        <v>368.65</v>
      </c>
    </row>
    <row r="156" customFormat="false" ht="12.75" hidden="false" customHeight="false" outlineLevel="0" collapsed="false">
      <c r="A156" s="1" t="s">
        <v>50</v>
      </c>
      <c r="D156" s="54" t="n">
        <f aca="false">SUM('Ablesewerte Strom'!D146-'Ablesewerte Strom'!C146)</f>
        <v>950.099999999999</v>
      </c>
      <c r="E156" s="54" t="n">
        <f aca="false">SUM('Ablesewerte Strom'!E146-'Ablesewerte Strom'!D146)</f>
        <v>943.799999999996</v>
      </c>
      <c r="F156" s="54" t="n">
        <f aca="false">SUM('Ablesewerte Strom'!F146-'Ablesewerte Strom'!E146)</f>
        <v>847</v>
      </c>
      <c r="G156" s="54" t="n">
        <f aca="false">SUM('Ablesewerte Strom'!G146-'Ablesewerte Strom'!F146)</f>
        <v>696.400000000002</v>
      </c>
      <c r="H156" s="54" t="n">
        <f aca="false">SUM('Ablesewerte Strom'!H146-'Ablesewerte Strom'!G146)</f>
        <v>855</v>
      </c>
      <c r="I156" s="54" t="n">
        <f aca="false">SUM('Ablesewerte Strom'!I146-'Ablesewerte Strom'!H146)</f>
        <v>444.700000000004</v>
      </c>
      <c r="J156" s="54" t="n">
        <f aca="false">SUM('Ablesewerte Strom'!J146-'Ablesewerte Strom'!I146)</f>
        <v>812.099999999999</v>
      </c>
      <c r="K156" s="54" t="n">
        <f aca="false">SUM('Ablesewerte Strom'!K146-'Ablesewerte Strom'!J146)</f>
        <v>359</v>
      </c>
      <c r="L156" s="54" t="n">
        <f aca="false">SUM('Ablesewerte Strom'!L146-'Ablesewerte Strom'!K146)</f>
        <v>584.400000000002</v>
      </c>
      <c r="M156" s="54" t="n">
        <f aca="false">SUM('Ablesewerte Strom'!M146-'Ablesewerte Strom'!L146)</f>
        <v>746.099999999999</v>
      </c>
      <c r="N156" s="54" t="n">
        <f aca="false">SUM('Ablesewerte Strom'!N146-'Ablesewerte Strom'!M146)</f>
        <v>1339.3</v>
      </c>
      <c r="O156" s="54" t="n">
        <f aca="false">SUM('Ablesewerte Strom'!O146-'Ablesewerte Strom'!N146)</f>
        <v>488.700000000004</v>
      </c>
      <c r="P156" s="54" t="n">
        <f aca="false">SUM(D156:O156)</f>
        <v>9066.6</v>
      </c>
    </row>
    <row r="157" customFormat="false" ht="12.75" hidden="false" customHeight="false" outlineLevel="0" collapsed="false">
      <c r="A157" s="1" t="s">
        <v>39</v>
      </c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</row>
    <row r="158" customFormat="false" ht="12.75" hidden="false" customHeight="false" outlineLevel="0" collapsed="false"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Q158" s="54" t="n">
        <f aca="false">SUM(D157:O158)</f>
        <v>0</v>
      </c>
    </row>
    <row r="159" customFormat="false" ht="12.75" hidden="false" customHeight="false" outlineLevel="0" collapsed="false">
      <c r="A159" s="1" t="s">
        <v>53</v>
      </c>
      <c r="D159" s="54" t="n">
        <f aca="false">SUM('Ablesewerte Strom'!D148-'Ablesewerte Strom'!C148)</f>
        <v>495.700000000012</v>
      </c>
      <c r="E159" s="54" t="n">
        <f aca="false">SUM('Ablesewerte Strom'!E148-'Ablesewerte Strom'!D148)</f>
        <v>700</v>
      </c>
      <c r="F159" s="54" t="n">
        <f aca="false">SUM('Ablesewerte Strom'!F148-'Ablesewerte Strom'!E148)</f>
        <v>795.5</v>
      </c>
      <c r="G159" s="54" t="n">
        <f aca="false">SUM('Ablesewerte Strom'!G148-'Ablesewerte Strom'!F148)</f>
        <v>800.399999999994</v>
      </c>
      <c r="H159" s="54" t="n">
        <f aca="false">SUM('Ablesewerte Strom'!H148-'Ablesewerte Strom'!G148)</f>
        <v>876.100000000006</v>
      </c>
      <c r="I159" s="54" t="n">
        <f aca="false">SUM('Ablesewerte Strom'!I148-'Ablesewerte Strom'!H148)</f>
        <v>1000.79999999999</v>
      </c>
      <c r="J159" s="54" t="n">
        <f aca="false">SUM('Ablesewerte Strom'!J148-'Ablesewerte Strom'!I148)</f>
        <v>1587.10000000001</v>
      </c>
      <c r="K159" s="54" t="n">
        <f aca="false">SUM('Ablesewerte Strom'!K148-'Ablesewerte Strom'!J148)</f>
        <v>954.5</v>
      </c>
      <c r="L159" s="54" t="n">
        <f aca="false">SUM('Ablesewerte Strom'!L148-'Ablesewerte Strom'!K148)</f>
        <v>518</v>
      </c>
      <c r="M159" s="54" t="n">
        <f aca="false">SUM('Ablesewerte Strom'!M148-'Ablesewerte Strom'!L148)</f>
        <v>450.299999999988</v>
      </c>
      <c r="N159" s="54" t="n">
        <f aca="false">SUM('Ablesewerte Strom'!N148-'Ablesewerte Strom'!M148)</f>
        <v>923.200000000012</v>
      </c>
      <c r="O159" s="54" t="n">
        <f aca="false">SUM('Ablesewerte Strom'!O148-'Ablesewerte Strom'!N148)</f>
        <v>288.299999999988</v>
      </c>
      <c r="P159" s="54" t="n">
        <f aca="false">SUM(D159:O159)</f>
        <v>9389.89999999999</v>
      </c>
      <c r="Q159" s="1" t="s">
        <v>54</v>
      </c>
      <c r="R159" s="81" t="n">
        <f aca="false">SUM(Q148:Q158)</f>
        <v>40820.3499999999</v>
      </c>
    </row>
    <row r="160" customFormat="false" ht="12.75" hidden="false" customHeight="false" outlineLevel="0" collapsed="false">
      <c r="A160" s="82" t="s">
        <v>41</v>
      </c>
      <c r="B160" s="23"/>
      <c r="C160" s="24"/>
      <c r="D160" s="54" t="n">
        <f aca="false">SUM('Ablesewerte Strom'!D149-'Ablesewerte Strom'!C149)</f>
        <v>20149</v>
      </c>
      <c r="E160" s="54" t="n">
        <f aca="false">SUM('Ablesewerte Strom'!E149-'Ablesewerte Strom'!D149)</f>
        <v>22561</v>
      </c>
      <c r="F160" s="54" t="n">
        <f aca="false">SUM('Ablesewerte Strom'!F149-'Ablesewerte Strom'!E149)</f>
        <v>22228</v>
      </c>
      <c r="G160" s="54" t="n">
        <f aca="false">SUM('Ablesewerte Strom'!G149-'Ablesewerte Strom'!F149)</f>
        <v>18518</v>
      </c>
      <c r="H160" s="54" t="n">
        <f aca="false">SUM('Ablesewerte Strom'!H149-'Ablesewerte Strom'!G149)</f>
        <v>17045</v>
      </c>
      <c r="I160" s="54" t="n">
        <f aca="false">SUM('Ablesewerte Strom'!I149-'Ablesewerte Strom'!H149)</f>
        <v>4848</v>
      </c>
      <c r="J160" s="54" t="n">
        <f aca="false">SUM('Ablesewerte Strom'!J149-'Ablesewerte Strom'!I149)</f>
        <v>5274</v>
      </c>
      <c r="K160" s="54" t="n">
        <f aca="false">SUM('Ablesewerte Strom'!K149-'Ablesewerte Strom'!J149)</f>
        <v>5732</v>
      </c>
      <c r="L160" s="54" t="n">
        <f aca="false">SUM('Ablesewerte Strom'!L149-'Ablesewerte Strom'!K149)</f>
        <v>7723</v>
      </c>
      <c r="M160" s="54" t="n">
        <f aca="false">SUM('Ablesewerte Strom'!M149-'Ablesewerte Strom'!L149)</f>
        <v>12031</v>
      </c>
      <c r="N160" s="54" t="n">
        <f aca="false">SUM('Ablesewerte Strom'!N149-'Ablesewerte Strom'!M149)</f>
        <v>28884</v>
      </c>
      <c r="O160" s="54" t="n">
        <f aca="false">SUM('Ablesewerte Strom'!O149-'Ablesewerte Strom'!N149)</f>
        <v>10261</v>
      </c>
      <c r="P160" s="23"/>
      <c r="Q160" s="23"/>
      <c r="R160" s="23"/>
    </row>
    <row r="161" customFormat="false" ht="13.8" hidden="false" customHeight="false" outlineLevel="0" collapsed="false">
      <c r="A161" s="83" t="s">
        <v>42</v>
      </c>
      <c r="B161" s="23"/>
      <c r="C161" s="24"/>
      <c r="D161" s="54" t="n">
        <f aca="false">SUM('Ablesewerte Strom'!D150-'Ablesewerte Strom'!C150)</f>
        <v>57.0999999999999</v>
      </c>
      <c r="E161" s="54" t="n">
        <f aca="false">SUM('Ablesewerte Strom'!E150-'Ablesewerte Strom'!D150)</f>
        <v>71.1999999999998</v>
      </c>
      <c r="F161" s="54" t="n">
        <f aca="false">SUM('Ablesewerte Strom'!F150-'Ablesewerte Strom'!E150)</f>
        <v>78.5</v>
      </c>
      <c r="G161" s="54" t="n">
        <f aca="false">SUM('Ablesewerte Strom'!G150-'Ablesewerte Strom'!F150)</f>
        <v>71.7000000000003</v>
      </c>
      <c r="H161" s="54" t="n">
        <f aca="false">SUM('Ablesewerte Strom'!H150-'Ablesewerte Strom'!G150)</f>
        <v>60.8999999999996</v>
      </c>
      <c r="I161" s="54" t="n">
        <f aca="false">SUM('Ablesewerte Strom'!I150-'Ablesewerte Strom'!H150)</f>
        <v>21.3000000000002</v>
      </c>
      <c r="J161" s="54" t="n">
        <f aca="false">SUM('Ablesewerte Strom'!J150-'Ablesewerte Strom'!I150)</f>
        <v>5.80000000000018</v>
      </c>
      <c r="K161" s="54" t="n">
        <f aca="false">SUM('Ablesewerte Strom'!K150-'Ablesewerte Strom'!J150)</f>
        <v>27.0999999999999</v>
      </c>
      <c r="L161" s="54" t="n">
        <f aca="false">SUM('Ablesewerte Strom'!L150-'Ablesewerte Strom'!K150)</f>
        <v>25.5999999999999</v>
      </c>
      <c r="M161" s="54" t="n">
        <f aca="false">SUM('Ablesewerte Strom'!M150-'Ablesewerte Strom'!L150)</f>
        <v>37.5999999999999</v>
      </c>
      <c r="N161" s="54" t="n">
        <f aca="false">SUM('Ablesewerte Strom'!N150-'Ablesewerte Strom'!M150)</f>
        <v>92.4000000000001</v>
      </c>
      <c r="O161" s="54" t="n">
        <f aca="false">SUM('Ablesewerte Strom'!O150-'Ablesewerte Strom'!N150)</f>
        <v>32.0999999999999</v>
      </c>
      <c r="P161" s="23"/>
      <c r="Q161" s="23"/>
      <c r="R161" s="23"/>
    </row>
    <row r="162" customFormat="false" ht="12.75" hidden="false" customHeight="false" outlineLevel="0" collapsed="false">
      <c r="A162" s="82" t="s">
        <v>43</v>
      </c>
      <c r="B162" s="23"/>
      <c r="C162" s="23"/>
      <c r="D162" s="54" t="n">
        <f aca="false">SUM('Ablesewerte Strom'!D151-'Ablesewerte Strom'!C151)</f>
        <v>617</v>
      </c>
      <c r="E162" s="54" t="n">
        <f aca="false">SUM('Ablesewerte Strom'!E151-'Ablesewerte Strom'!D151)</f>
        <v>2243</v>
      </c>
      <c r="F162" s="54" t="n">
        <f aca="false">SUM('Ablesewerte Strom'!F151-'Ablesewerte Strom'!E151)</f>
        <v>2794</v>
      </c>
      <c r="G162" s="54" t="n">
        <f aca="false">SUM('Ablesewerte Strom'!G151-'Ablesewerte Strom'!F151)</f>
        <v>3529</v>
      </c>
      <c r="H162" s="54" t="n">
        <f aca="false">SUM('Ablesewerte Strom'!H151-'Ablesewerte Strom'!G151)</f>
        <v>4176</v>
      </c>
      <c r="I162" s="54" t="n">
        <f aca="false">SUM('Ablesewerte Strom'!I151-'Ablesewerte Strom'!H151)</f>
        <v>3861</v>
      </c>
      <c r="J162" s="54" t="n">
        <f aca="false">SUM('Ablesewerte Strom'!J151-'Ablesewerte Strom'!I151)</f>
        <v>6115</v>
      </c>
      <c r="K162" s="54" t="n">
        <f aca="false">SUM('Ablesewerte Strom'!K151-'Ablesewerte Strom'!J151)</f>
        <v>3265</v>
      </c>
      <c r="L162" s="54" t="n">
        <f aca="false">SUM('Ablesewerte Strom'!L151-'Ablesewerte Strom'!K151)</f>
        <v>2206</v>
      </c>
      <c r="M162" s="54" t="n">
        <f aca="false">SUM('Ablesewerte Strom'!M151-'Ablesewerte Strom'!L151)</f>
        <v>1381</v>
      </c>
      <c r="N162" s="54" t="n">
        <f aca="false">SUM('Ablesewerte Strom'!N151-'Ablesewerte Strom'!M151)</f>
        <v>1604</v>
      </c>
      <c r="O162" s="54" t="n">
        <f aca="false">SUM('Ablesewerte Strom'!O151-'Ablesewerte Strom'!N151)</f>
        <v>393</v>
      </c>
      <c r="P162" s="23"/>
      <c r="Q162" s="23"/>
      <c r="R162" s="23"/>
    </row>
    <row r="163" customFormat="false" ht="12.75" hidden="false" customHeight="false" outlineLevel="0" collapsed="false">
      <c r="D163" s="54" t="n">
        <f aca="false">SUM('Ablesewerte Strom'!D152-'Ablesewerte Strom'!C152)</f>
        <v>0</v>
      </c>
      <c r="F163" s="1" t="s">
        <v>55</v>
      </c>
    </row>
    <row r="164" customFormat="false" ht="12.75" hidden="false" customHeight="false" outlineLevel="0" collapsed="false">
      <c r="D164" s="54"/>
    </row>
    <row r="166" customFormat="false" ht="15" hidden="false" customHeight="false" outlineLevel="0" collapsed="false">
      <c r="A166" s="2" t="n">
        <v>2020</v>
      </c>
    </row>
    <row r="167" customFormat="false" ht="15" hidden="false" customHeight="false" outlineLevel="0" collapsed="false">
      <c r="A167" s="2" t="s">
        <v>23</v>
      </c>
      <c r="D167" s="79" t="s">
        <v>2</v>
      </c>
      <c r="E167" s="79" t="s">
        <v>3</v>
      </c>
      <c r="F167" s="79" t="s">
        <v>4</v>
      </c>
      <c r="G167" s="79" t="s">
        <v>5</v>
      </c>
      <c r="H167" s="79" t="s">
        <v>6</v>
      </c>
      <c r="I167" s="79" t="s">
        <v>7</v>
      </c>
      <c r="J167" s="79" t="s">
        <v>8</v>
      </c>
      <c r="K167" s="79" t="s">
        <v>9</v>
      </c>
      <c r="L167" s="79" t="s">
        <v>10</v>
      </c>
      <c r="M167" s="79" t="s">
        <v>11</v>
      </c>
      <c r="N167" s="79" t="s">
        <v>12</v>
      </c>
      <c r="O167" s="79" t="s">
        <v>13</v>
      </c>
    </row>
    <row r="169" customFormat="false" ht="12.75" hidden="false" customHeight="false" outlineLevel="0" collapsed="false">
      <c r="A169" s="1" t="s">
        <v>27</v>
      </c>
      <c r="D169" s="54" t="n">
        <f aca="false">SUM('Ablesewerte Strom'!D159-'Ablesewerte Strom'!C159)</f>
        <v>4082.10000000009</v>
      </c>
      <c r="E169" s="54" t="n">
        <f aca="false">SUM('Ablesewerte Strom'!E159-'Ablesewerte Strom'!D159)</f>
        <v>2313.89999999991</v>
      </c>
      <c r="F169" s="54" t="n">
        <f aca="false">SUM('Ablesewerte Strom'!F159-'Ablesewerte Strom'!E159)</f>
        <v>2118.30000000005</v>
      </c>
      <c r="G169" s="54" t="n">
        <f aca="false">SUM('Ablesewerte Strom'!G159-'Ablesewerte Strom'!F159)</f>
        <v>1660.80000000005</v>
      </c>
      <c r="H169" s="54" t="n">
        <f aca="false">SUM('Ablesewerte Strom'!H159-'Ablesewerte Strom'!G159)</f>
        <v>1510.19999999995</v>
      </c>
      <c r="I169" s="54" t="n">
        <f aca="false">SUM('Ablesewerte Strom'!I159-'Ablesewerte Strom'!H159)</f>
        <v>1485.80000000005</v>
      </c>
      <c r="J169" s="54" t="n">
        <f aca="false">SUM('Ablesewerte Strom'!J159-'Ablesewerte Strom'!I159)</f>
        <v>1760.59999999998</v>
      </c>
      <c r="K169" s="54" t="n">
        <f aca="false">SUM('Ablesewerte Strom'!K159-'Ablesewerte Strom'!J159)</f>
        <v>1320.09999999998</v>
      </c>
      <c r="L169" s="54" t="n">
        <f aca="false">SUM('Ablesewerte Strom'!L159-'Ablesewerte Strom'!K159)</f>
        <v>1842.69999999995</v>
      </c>
      <c r="M169" s="54" t="n">
        <f aca="false">SUM('Ablesewerte Strom'!M159-'Ablesewerte Strom'!L159)</f>
        <v>2521.80000000005</v>
      </c>
      <c r="N169" s="54" t="n">
        <f aca="false">SUM('Ablesewerte Strom'!N159-'Ablesewerte Strom'!M159)</f>
        <v>2690.59999999998</v>
      </c>
      <c r="O169" s="54" t="n">
        <f aca="false">SUM('Ablesewerte Strom'!O159-'Ablesewerte Strom'!N159)</f>
        <v>3037.90000000002</v>
      </c>
      <c r="Q169" s="54" t="n">
        <f aca="false">SUM(D169:O169)</f>
        <v>26344.8</v>
      </c>
    </row>
    <row r="170" customFormat="false" ht="12.75" hidden="false" customHeight="false" outlineLevel="0" collapsed="false">
      <c r="A170" s="1" t="s">
        <v>28</v>
      </c>
      <c r="D170" s="54" t="n">
        <f aca="false">SUM('Ablesewerte Strom'!D160-'Ablesewerte Strom'!C160)</f>
        <v>3054.5</v>
      </c>
      <c r="E170" s="54" t="n">
        <f aca="false">SUM('Ablesewerte Strom'!E160-'Ablesewerte Strom'!D160)</f>
        <v>1629.5</v>
      </c>
      <c r="F170" s="54" t="n">
        <f aca="false">SUM('Ablesewerte Strom'!F160-'Ablesewerte Strom'!E160)</f>
        <v>1491.40000000002</v>
      </c>
      <c r="G170" s="54" t="n">
        <f aca="false">SUM('Ablesewerte Strom'!G160-'Ablesewerte Strom'!F160)</f>
        <v>1182.79999999999</v>
      </c>
      <c r="H170" s="54" t="n">
        <f aca="false">SUM('Ablesewerte Strom'!H160-'Ablesewerte Strom'!G160)</f>
        <v>1022.20000000001</v>
      </c>
      <c r="I170" s="54" t="n">
        <f aca="false">SUM('Ablesewerte Strom'!I164-'Ablesewerte Strom'!H164)</f>
        <v>13.6299999999992</v>
      </c>
      <c r="J170" s="54" t="n">
        <f aca="false">SUM('Ablesewerte Strom'!J164-'Ablesewerte Strom'!I164)</f>
        <v>15.9400000000005</v>
      </c>
      <c r="K170" s="54" t="n">
        <f aca="false">SUM('Ablesewerte Strom'!K164-'Ablesewerte Strom'!J164)</f>
        <v>15</v>
      </c>
      <c r="L170" s="54" t="n">
        <f aca="false">SUM('Ablesewerte Strom'!L160-'Ablesewerte Strom'!K160)</f>
        <v>1165.29999999999</v>
      </c>
      <c r="M170" s="54" t="n">
        <f aca="false">SUM('Ablesewerte Strom'!M164-'Ablesewerte Strom'!L164)</f>
        <v>64.8500000000004</v>
      </c>
      <c r="N170" s="54" t="n">
        <f aca="false">SUM('Ablesewerte Strom'!N160-'Ablesewerte Strom'!M160)</f>
        <v>1943.20000000001</v>
      </c>
      <c r="O170" s="54" t="n">
        <f aca="false">SUM('Ablesewerte Strom'!O164-'Ablesewerte Strom'!N164)</f>
        <v>49.0900000000001</v>
      </c>
      <c r="Q170" s="54" t="n">
        <f aca="false">SUM(D170:O170)</f>
        <v>11647.41</v>
      </c>
    </row>
    <row r="171" customFormat="false" ht="12.75" hidden="false" customHeight="false" outlineLevel="0" collapsed="false">
      <c r="A171" s="1" t="s">
        <v>29</v>
      </c>
      <c r="D171" s="54" t="n">
        <f aca="false">SUM('Ablesewerte Strom'!D161-'Ablesewerte Strom'!C161)</f>
        <v>0</v>
      </c>
      <c r="E171" s="54" t="n">
        <f aca="false">SUM('Ablesewerte Strom'!E161-'Ablesewerte Strom'!D161)</f>
        <v>0</v>
      </c>
      <c r="F171" s="54" t="n">
        <f aca="false">SUM('Ablesewerte Strom'!F161-'Ablesewerte Strom'!E161)</f>
        <v>0</v>
      </c>
      <c r="G171" s="54" t="n">
        <f aca="false">SUM('Ablesewerte Strom'!G161-'Ablesewerte Strom'!F161)</f>
        <v>0</v>
      </c>
      <c r="H171" s="54" t="n">
        <f aca="false">SUM('Ablesewerte Strom'!H161-'Ablesewerte Strom'!G161)</f>
        <v>840</v>
      </c>
      <c r="I171" s="54" t="n">
        <f aca="false">SUM('Ablesewerte Strom'!I161-'Ablesewerte Strom'!H161)</f>
        <v>0</v>
      </c>
      <c r="J171" s="54" t="n">
        <f aca="false">SUM('Ablesewerte Strom'!J161-'Ablesewerte Strom'!I161)</f>
        <v>0</v>
      </c>
      <c r="K171" s="54" t="n">
        <f aca="false">SUM('Ablesewerte Strom'!K161-'Ablesewerte Strom'!J161)</f>
        <v>963</v>
      </c>
      <c r="L171" s="54" t="n">
        <f aca="false">SUM('Ablesewerte Strom'!L161-'Ablesewerte Strom'!K161)</f>
        <v>0</v>
      </c>
      <c r="M171" s="54" t="n">
        <f aca="false">SUM('Ablesewerte Strom'!M161-'Ablesewerte Strom'!L161)</f>
        <v>0</v>
      </c>
      <c r="N171" s="54" t="n">
        <f aca="false">SUM('Ablesewerte Strom'!N161-'Ablesewerte Strom'!M161)</f>
        <v>0</v>
      </c>
      <c r="O171" s="54" t="n">
        <f aca="false">SUM('Ablesewerte Strom'!O161-'Ablesewerte Strom'!N161)</f>
        <v>76</v>
      </c>
      <c r="Q171" s="54" t="n">
        <f aca="false">SUM(D171:P171)</f>
        <v>1879</v>
      </c>
    </row>
    <row r="172" customFormat="false" ht="12.75" hidden="false" customHeight="false" outlineLevel="0" collapsed="false">
      <c r="A172" s="1" t="s">
        <v>30</v>
      </c>
      <c r="D172" s="54" t="n">
        <f aca="false">SUM('Ablesewerte Strom'!D162-'Ablesewerte Strom'!C162)</f>
        <v>0</v>
      </c>
      <c r="E172" s="54" t="n">
        <f aca="false">SUM('Ablesewerte Strom'!E162-'Ablesewerte Strom'!D162)</f>
        <v>0</v>
      </c>
      <c r="F172" s="54" t="n">
        <f aca="false">SUM('Ablesewerte Strom'!F162-'Ablesewerte Strom'!E162)</f>
        <v>0</v>
      </c>
      <c r="G172" s="54" t="n">
        <f aca="false">SUM('Ablesewerte Strom'!G162-'Ablesewerte Strom'!F162)</f>
        <v>0</v>
      </c>
      <c r="H172" s="54" t="n">
        <f aca="false">SUM('Ablesewerte Strom'!H162-'Ablesewerte Strom'!G162)</f>
        <v>73</v>
      </c>
      <c r="I172" s="54" t="n">
        <f aca="false">SUM('Ablesewerte Strom'!I162-'Ablesewerte Strom'!H162)</f>
        <v>0</v>
      </c>
      <c r="J172" s="54" t="n">
        <f aca="false">SUM('Ablesewerte Strom'!J162-'Ablesewerte Strom'!I162)</f>
        <v>0</v>
      </c>
      <c r="K172" s="54" t="n">
        <f aca="false">SUM('Ablesewerte Strom'!K166-'Ablesewerte Strom'!J166)</f>
        <v>470.699999999997</v>
      </c>
      <c r="L172" s="54" t="n">
        <f aca="false">SUM('Ablesewerte Strom'!L162-'Ablesewerte Strom'!K162)</f>
        <v>0</v>
      </c>
      <c r="M172" s="54" t="n">
        <f aca="false">SUM('Ablesewerte Strom'!M162-'Ablesewerte Strom'!L162)</f>
        <v>0</v>
      </c>
      <c r="N172" s="54" t="n">
        <f aca="false">SUM('Ablesewerte Strom'!N162-'Ablesewerte Strom'!M162)</f>
        <v>0</v>
      </c>
      <c r="O172" s="54" t="n">
        <f aca="false">SUM('Ablesewerte Strom'!O162-'Ablesewerte Strom'!N162)</f>
        <v>199</v>
      </c>
      <c r="Q172" s="54" t="n">
        <f aca="false">SUM(D172:P172)</f>
        <v>742.699999999997</v>
      </c>
    </row>
    <row r="173" customFormat="false" ht="12.75" hidden="false" customHeight="false" outlineLevel="0" collapsed="false">
      <c r="A173" s="1" t="s">
        <v>31</v>
      </c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</row>
    <row r="174" customFormat="false" ht="12.75" hidden="false" customHeight="false" outlineLevel="0" collapsed="false"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Q174" s="54" t="n">
        <f aca="false">SUM(D173:O174)</f>
        <v>0</v>
      </c>
    </row>
    <row r="175" customFormat="false" ht="12.75" hidden="false" customHeight="false" outlineLevel="0" collapsed="false">
      <c r="A175" s="1" t="s">
        <v>48</v>
      </c>
      <c r="D175" s="54" t="n">
        <f aca="false">SUM('Ablesewerte Strom'!D164-'Ablesewerte Strom'!C164)</f>
        <v>75.5100000000002</v>
      </c>
      <c r="E175" s="54" t="n">
        <f aca="false">SUM('Ablesewerte Strom'!E164-'Ablesewerte Strom'!D164)</f>
        <v>53.9799999999996</v>
      </c>
      <c r="F175" s="54" t="n">
        <f aca="false">SUM('Ablesewerte Strom'!F164-'Ablesewerte Strom'!E164)</f>
        <v>43.2600000000002</v>
      </c>
      <c r="G175" s="54" t="n">
        <f aca="false">SUM('Ablesewerte Strom'!G164-'Ablesewerte Strom'!F164)</f>
        <v>15.3199999999997</v>
      </c>
      <c r="H175" s="54" t="n">
        <f aca="false">SUM('Ablesewerte Strom'!H164-'Ablesewerte Strom'!G164)</f>
        <v>43.6800000000003</v>
      </c>
      <c r="I175" s="54" t="n">
        <f aca="false">SUM('Ablesewerte Strom'!I164-'Ablesewerte Strom'!H164)</f>
        <v>13.6299999999992</v>
      </c>
      <c r="J175" s="54" t="n">
        <f aca="false">SUM('Ablesewerte Strom'!J164-'Ablesewerte Strom'!I164)</f>
        <v>15.9400000000005</v>
      </c>
      <c r="K175" s="54" t="n">
        <f aca="false">SUM('Ablesewerte Strom'!K164-'Ablesewerte Strom'!J164)</f>
        <v>15</v>
      </c>
      <c r="L175" s="54" t="n">
        <f aca="false">SUM('Ablesewerte Strom'!L164-'Ablesewerte Strom'!K164)</f>
        <v>55.7800000000007</v>
      </c>
      <c r="M175" s="54" t="n">
        <f aca="false">SUM('Ablesewerte Strom'!M164-'Ablesewerte Strom'!L164)</f>
        <v>64.8500000000004</v>
      </c>
      <c r="N175" s="54" t="n">
        <f aca="false">SUM('Ablesewerte Strom'!N164-'Ablesewerte Strom'!M164)</f>
        <v>71.3799999999992</v>
      </c>
      <c r="O175" s="54" t="n">
        <f aca="false">SUM('Ablesewerte Strom'!O164-'Ablesewerte Strom'!N164)</f>
        <v>49.0900000000001</v>
      </c>
      <c r="P175" s="54" t="n">
        <f aca="false">SUM(D175:O175)</f>
        <v>517.42</v>
      </c>
    </row>
    <row r="176" customFormat="false" ht="12.75" hidden="false" customHeight="false" outlineLevel="0" collapsed="false">
      <c r="A176" s="1" t="s">
        <v>49</v>
      </c>
      <c r="D176" s="54" t="n">
        <f aca="false">SUM('Ablesewerte Strom'!D165-'Ablesewerte Strom'!C165)</f>
        <v>52.0199999999995</v>
      </c>
      <c r="E176" s="54" t="n">
        <f aca="false">SUM('Ablesewerte Strom'!E165-'Ablesewerte Strom'!D165)</f>
        <v>33.9500000000007</v>
      </c>
      <c r="F176" s="54" t="n">
        <f aca="false">SUM('Ablesewerte Strom'!F165-'Ablesewerte Strom'!E165)</f>
        <v>29.1099999999997</v>
      </c>
      <c r="G176" s="54" t="n">
        <f aca="false">SUM('Ablesewerte Strom'!G165-'Ablesewerte Strom'!F165)</f>
        <v>20</v>
      </c>
      <c r="H176" s="54" t="n">
        <f aca="false">SUM('Ablesewerte Strom'!H165-'Ablesewerte Strom'!G165)</f>
        <v>27</v>
      </c>
      <c r="I176" s="54" t="n">
        <f aca="false">SUM('Ablesewerte Strom'!I165-'Ablesewerte Strom'!H165)</f>
        <v>20.6000000000004</v>
      </c>
      <c r="J176" s="54" t="n">
        <f aca="false">SUM('Ablesewerte Strom'!J165-'Ablesewerte Strom'!I165)</f>
        <v>28.8999999999996</v>
      </c>
      <c r="K176" s="54" t="n">
        <f aca="false">SUM('Ablesewerte Strom'!K165-'Ablesewerte Strom'!J165)</f>
        <v>23.1599999999999</v>
      </c>
      <c r="L176" s="54" t="n">
        <f aca="false">SUM('Ablesewerte Strom'!L165-'Ablesewerte Strom'!K165)</f>
        <v>36.1400000000003</v>
      </c>
      <c r="M176" s="54" t="n">
        <f aca="false">SUM('Ablesewerte Strom'!M165-'Ablesewerte Strom'!L165)</f>
        <v>40.6599999999999</v>
      </c>
      <c r="N176" s="54" t="n">
        <f aca="false">SUM('Ablesewerte Strom'!N165-'Ablesewerte Strom'!M165)</f>
        <v>39.5799999999999</v>
      </c>
      <c r="O176" s="54" t="n">
        <f aca="false">SUM('Ablesewerte Strom'!O165-'Ablesewerte Strom'!N165)</f>
        <v>43.5699999999997</v>
      </c>
      <c r="P176" s="54" t="n">
        <f aca="false">SUM(D176:O176)</f>
        <v>394.69</v>
      </c>
    </row>
    <row r="177" customFormat="false" ht="12.75" hidden="false" customHeight="false" outlineLevel="0" collapsed="false">
      <c r="A177" s="1" t="s">
        <v>50</v>
      </c>
      <c r="D177" s="54" t="n">
        <f aca="false">SUM('Ablesewerte Strom'!D166-'Ablesewerte Strom'!C166)</f>
        <v>1763.9</v>
      </c>
      <c r="E177" s="54" t="n">
        <f aca="false">SUM('Ablesewerte Strom'!E166-'Ablesewerte Strom'!D166)</f>
        <v>1780.7</v>
      </c>
      <c r="F177" s="54" t="n">
        <f aca="false">SUM('Ablesewerte Strom'!F166-'Ablesewerte Strom'!E166)</f>
        <v>725</v>
      </c>
      <c r="G177" s="54" t="n">
        <f aca="false">SUM('Ablesewerte Strom'!G166-'Ablesewerte Strom'!F166)</f>
        <v>455.800000000003</v>
      </c>
      <c r="H177" s="54" t="n">
        <f aca="false">SUM('Ablesewerte Strom'!H166-'Ablesewerte Strom'!G166)</f>
        <v>420.199999999997</v>
      </c>
      <c r="I177" s="54" t="n">
        <f aca="false">SUM('Ablesewerte Strom'!I166-'Ablesewerte Strom'!H166)</f>
        <v>578.900000000002</v>
      </c>
      <c r="J177" s="54" t="n">
        <f aca="false">SUM('Ablesewerte Strom'!J166-'Ablesewerte Strom'!I166)</f>
        <v>758.599999999999</v>
      </c>
      <c r="K177" s="54" t="n">
        <f aca="false">SUM('Ablesewerte Strom'!K166-'Ablesewerte Strom'!J166)</f>
        <v>470.699999999997</v>
      </c>
      <c r="L177" s="54" t="n">
        <f aca="false">SUM('Ablesewerte Strom'!L166-'Ablesewerte Strom'!K166)</f>
        <v>844.900000000002</v>
      </c>
      <c r="M177" s="54" t="n">
        <f aca="false">SUM('Ablesewerte Strom'!M166-'Ablesewerte Strom'!L166)</f>
        <v>1169</v>
      </c>
      <c r="N177" s="54" t="n">
        <f aca="false">SUM('Ablesewerte Strom'!N166-'Ablesewerte Strom'!M166)</f>
        <v>1163.3</v>
      </c>
      <c r="O177" s="54" t="n">
        <f aca="false">SUM('Ablesewerte Strom'!O166-'Ablesewerte Strom'!N166)</f>
        <v>1074.3</v>
      </c>
      <c r="P177" s="54" t="n">
        <f aca="false">SUM(D177:O177)</f>
        <v>11205.3</v>
      </c>
    </row>
    <row r="178" customFormat="false" ht="12.75" hidden="false" customHeight="false" outlineLevel="0" collapsed="false">
      <c r="A178" s="1" t="s">
        <v>39</v>
      </c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</row>
    <row r="179" customFormat="false" ht="12.75" hidden="false" customHeight="false" outlineLevel="0" collapsed="false"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Q179" s="54" t="n">
        <f aca="false">SUM(D178:O179)</f>
        <v>0</v>
      </c>
    </row>
    <row r="180" customFormat="false" ht="12.75" hidden="false" customHeight="false" outlineLevel="0" collapsed="false">
      <c r="A180" s="1" t="s">
        <v>53</v>
      </c>
      <c r="D180" s="54" t="n">
        <f aca="false">SUM('Ablesewerte Strom'!D168-'Ablesewerte Strom'!C168)</f>
        <v>1181.80000000002</v>
      </c>
      <c r="E180" s="54" t="n">
        <f aca="false">SUM('Ablesewerte Strom'!E168-'Ablesewerte Strom'!D168)</f>
        <v>610.899999999994</v>
      </c>
      <c r="F180" s="54" t="n">
        <f aca="false">SUM('Ablesewerte Strom'!F168-'Ablesewerte Strom'!E168)</f>
        <v>501.5</v>
      </c>
      <c r="G180" s="54" t="n">
        <f aca="false">SUM('Ablesewerte Strom'!G168-'Ablesewerte Strom'!F168)</f>
        <v>696.100000000006</v>
      </c>
      <c r="H180" s="54" t="n">
        <f aca="false">SUM('Ablesewerte Strom'!H168-'Ablesewerte Strom'!G168)</f>
        <v>809.899999999994</v>
      </c>
      <c r="I180" s="54" t="n">
        <f aca="false">SUM('Ablesewerte Strom'!I168-'Ablesewerte Strom'!H168)</f>
        <v>549.700000000012</v>
      </c>
      <c r="J180" s="54" t="n">
        <f aca="false">SUM('Ablesewerte Strom'!J168-'Ablesewerte Strom'!I168)</f>
        <v>850.199999999983</v>
      </c>
      <c r="K180" s="54" t="n">
        <f aca="false">SUM('Ablesewerte Strom'!K168-'Ablesewerte Strom'!J168)</f>
        <v>891.200000000012</v>
      </c>
      <c r="L180" s="54" t="n">
        <f aca="false">SUM('Ablesewerte Strom'!L168-'Ablesewerte Strom'!K168)</f>
        <v>952.199999999983</v>
      </c>
      <c r="M180" s="54" t="n">
        <f aca="false">SUM('Ablesewerte Strom'!M168-'Ablesewerte Strom'!L168)</f>
        <v>1016.60000000001</v>
      </c>
      <c r="N180" s="54" t="n">
        <f aca="false">SUM('Ablesewerte Strom'!N168-'Ablesewerte Strom'!M168)</f>
        <v>979.899999999994</v>
      </c>
      <c r="O180" s="54" t="n">
        <f aca="false">SUM('Ablesewerte Strom'!O168-'Ablesewerte Strom'!N168)</f>
        <v>992</v>
      </c>
      <c r="P180" s="54" t="n">
        <f aca="false">SUM(D180:O180)</f>
        <v>10032</v>
      </c>
      <c r="Q180" s="1" t="s">
        <v>54</v>
      </c>
      <c r="R180" s="81" t="n">
        <f aca="false">SUM(Q169:Q179)</f>
        <v>40613.9100000001</v>
      </c>
    </row>
    <row r="181" customFormat="false" ht="12.75" hidden="false" customHeight="false" outlineLevel="0" collapsed="false">
      <c r="A181" s="82" t="s">
        <v>41</v>
      </c>
      <c r="B181" s="23"/>
      <c r="C181" s="24"/>
      <c r="D181" s="54" t="n">
        <f aca="false">SUM('Ablesewerte Strom'!D169-'Ablesewerte Strom'!C169)</f>
        <v>24187</v>
      </c>
      <c r="E181" s="54" t="n">
        <f aca="false">SUM('Ablesewerte Strom'!E169-'Ablesewerte Strom'!D169)</f>
        <v>21673</v>
      </c>
      <c r="F181" s="54" t="n">
        <f aca="false">SUM('Ablesewerte Strom'!F169-'Ablesewerte Strom'!E169)</f>
        <v>22254</v>
      </c>
      <c r="G181" s="54" t="n">
        <f aca="false">SUM('Ablesewerte Strom'!G169-'Ablesewerte Strom'!F169)</f>
        <v>14427</v>
      </c>
      <c r="H181" s="54" t="n">
        <f aca="false">SUM('Ablesewerte Strom'!H169-'Ablesewerte Strom'!G169)</f>
        <v>12919</v>
      </c>
      <c r="I181" s="54" t="n">
        <f aca="false">SUM('Ablesewerte Strom'!I169-'Ablesewerte Strom'!H169)</f>
        <v>7207</v>
      </c>
      <c r="J181" s="54" t="n">
        <f aca="false">SUM('Ablesewerte Strom'!J169-'Ablesewerte Strom'!I169)</f>
        <v>4470</v>
      </c>
      <c r="K181" s="54" t="n">
        <f aca="false">SUM('Ablesewerte Strom'!K169-'Ablesewerte Strom'!J169)</f>
        <v>5159</v>
      </c>
      <c r="L181" s="54" t="n">
        <f aca="false">SUM('Ablesewerte Strom'!L169-'Ablesewerte Strom'!K169)</f>
        <v>12842</v>
      </c>
      <c r="M181" s="54" t="n">
        <f aca="false">SUM('Ablesewerte Strom'!M169-'Ablesewerte Strom'!L169)</f>
        <v>23661</v>
      </c>
      <c r="N181" s="54" t="n">
        <f aca="false">SUM('Ablesewerte Strom'!N169-'Ablesewerte Strom'!M169)</f>
        <v>22400</v>
      </c>
      <c r="O181" s="54" t="n">
        <f aca="false">SUM('Ablesewerte Strom'!O169-'Ablesewerte Strom'!N169)</f>
        <v>29235</v>
      </c>
      <c r="P181" s="23"/>
      <c r="Q181" s="23"/>
      <c r="R181" s="23"/>
    </row>
    <row r="182" customFormat="false" ht="13.8" hidden="false" customHeight="false" outlineLevel="0" collapsed="false">
      <c r="A182" s="83" t="s">
        <v>42</v>
      </c>
      <c r="B182" s="23"/>
      <c r="C182" s="24"/>
      <c r="D182" s="54" t="n">
        <f aca="false">SUM('Ablesewerte Strom'!D170-'Ablesewerte Strom'!C170)</f>
        <v>50.5</v>
      </c>
      <c r="E182" s="54" t="n">
        <f aca="false">SUM('Ablesewerte Strom'!E170-'Ablesewerte Strom'!D170)</f>
        <v>38.2000000000003</v>
      </c>
      <c r="F182" s="54" t="n">
        <f aca="false">SUM('Ablesewerte Strom'!F170-'Ablesewerte Strom'!E170)</f>
        <v>52.1999999999998</v>
      </c>
      <c r="G182" s="54" t="n">
        <f aca="false">SUM('Ablesewerte Strom'!G170-'Ablesewerte Strom'!F170)</f>
        <v>75.6999999999998</v>
      </c>
      <c r="H182" s="54" t="n">
        <f aca="false">SUM('Ablesewerte Strom'!H170-'Ablesewerte Strom'!G170)</f>
        <v>56.3000000000002</v>
      </c>
      <c r="I182" s="54" t="n">
        <f aca="false">SUM('Ablesewerte Strom'!I170-'Ablesewerte Strom'!H170)</f>
        <v>39.1999999999998</v>
      </c>
      <c r="J182" s="54" t="n">
        <f aca="false">SUM('Ablesewerte Strom'!J170-'Ablesewerte Strom'!I170)</f>
        <v>20.9000000000001</v>
      </c>
      <c r="K182" s="54" t="n">
        <f aca="false">SUM('Ablesewerte Strom'!K170-'Ablesewerte Strom'!J170)</f>
        <v>27.5999999999999</v>
      </c>
      <c r="L182" s="54" t="n">
        <f aca="false">SUM('Ablesewerte Strom'!L170-'Ablesewerte Strom'!K170)</f>
        <v>50.8000000000002</v>
      </c>
      <c r="M182" s="54" t="n">
        <f aca="false">SUM('Ablesewerte Strom'!M170-'Ablesewerte Strom'!L170)</f>
        <v>83</v>
      </c>
      <c r="N182" s="54" t="n">
        <f aca="false">SUM('Ablesewerte Strom'!N170-'Ablesewerte Strom'!M170)</f>
        <v>82.3000000000002</v>
      </c>
      <c r="O182" s="54" t="n">
        <f aca="false">SUM('Ablesewerte Strom'!O170-'Ablesewerte Strom'!N170)</f>
        <v>133.599999999999</v>
      </c>
      <c r="P182" s="23"/>
      <c r="Q182" s="23"/>
      <c r="R182" s="23"/>
    </row>
    <row r="183" customFormat="false" ht="12.75" hidden="false" customHeight="false" outlineLevel="0" collapsed="false">
      <c r="A183" s="82" t="s">
        <v>43</v>
      </c>
      <c r="B183" s="23"/>
      <c r="C183" s="23"/>
      <c r="D183" s="54" t="n">
        <f aca="false">SUM('Ablesewerte Strom'!D171-'Ablesewerte Strom'!C171)</f>
        <v>1528</v>
      </c>
      <c r="E183" s="54" t="n">
        <f aca="false">SUM('Ablesewerte Strom'!E171-'Ablesewerte Strom'!D171)</f>
        <v>1671</v>
      </c>
      <c r="F183" s="54" t="n">
        <f aca="false">SUM('Ablesewerte Strom'!F171-'Ablesewerte Strom'!E171)</f>
        <v>3089</v>
      </c>
      <c r="G183" s="54" t="n">
        <f aca="false">SUM('Ablesewerte Strom'!G171-'Ablesewerte Strom'!F171)</f>
        <v>4930</v>
      </c>
      <c r="H183" s="54" t="n">
        <f aca="false">SUM('Ablesewerte Strom'!H171-'Ablesewerte Strom'!G171)</f>
        <v>4178</v>
      </c>
      <c r="I183" s="54" t="n">
        <f aca="false">'Verbrauch Strom'!I173</f>
        <v>0</v>
      </c>
      <c r="J183" s="54" t="n">
        <f aca="false">SUM('Ablesewerte Strom'!J171-'Ablesewerte Strom'!I171)</f>
        <v>4757</v>
      </c>
      <c r="K183" s="54" t="n">
        <f aca="false">SUM('Ablesewerte Strom'!K171-'Ablesewerte Strom'!J171)</f>
        <v>3403</v>
      </c>
      <c r="L183" s="54" t="n">
        <f aca="false">SUM('Ablesewerte Strom'!L171-'Ablesewerte Strom'!K171)</f>
        <v>3032</v>
      </c>
      <c r="M183" s="54" t="n">
        <f aca="false">SUM('Ablesewerte Strom'!M171-'Ablesewerte Strom'!L171)</f>
        <v>1324</v>
      </c>
      <c r="N183" s="54" t="n">
        <f aca="false">SUM('Ablesewerte Strom'!N171-'Ablesewerte Strom'!M171)</f>
        <v>1463</v>
      </c>
      <c r="O183" s="54" t="n">
        <f aca="false">SUM('Ablesewerte Strom'!O171-'Ablesewerte Strom'!N171)</f>
        <v>575</v>
      </c>
      <c r="P183" s="23"/>
      <c r="Q183" s="23"/>
      <c r="R183" s="23"/>
    </row>
    <row r="187" customFormat="false" ht="15" hidden="false" customHeight="false" outlineLevel="0" collapsed="false">
      <c r="A187" s="2" t="n">
        <v>2021</v>
      </c>
    </row>
    <row r="188" customFormat="false" ht="15" hidden="false" customHeight="false" outlineLevel="0" collapsed="false">
      <c r="A188" s="2" t="s">
        <v>23</v>
      </c>
      <c r="D188" s="79" t="s">
        <v>2</v>
      </c>
      <c r="E188" s="79" t="s">
        <v>3</v>
      </c>
      <c r="F188" s="79" t="s">
        <v>4</v>
      </c>
      <c r="G188" s="79" t="s">
        <v>5</v>
      </c>
      <c r="H188" s="79" t="s">
        <v>6</v>
      </c>
      <c r="I188" s="79" t="s">
        <v>7</v>
      </c>
      <c r="J188" s="79" t="s">
        <v>8</v>
      </c>
      <c r="K188" s="79" t="s">
        <v>9</v>
      </c>
      <c r="L188" s="79" t="s">
        <v>10</v>
      </c>
      <c r="M188" s="79" t="s">
        <v>11</v>
      </c>
      <c r="N188" s="79" t="s">
        <v>12</v>
      </c>
      <c r="O188" s="79" t="s">
        <v>13</v>
      </c>
    </row>
    <row r="190" customFormat="false" ht="12.75" hidden="false" customHeight="false" outlineLevel="0" collapsed="false">
      <c r="A190" s="1" t="s">
        <v>27</v>
      </c>
      <c r="D190" s="54" t="n">
        <f aca="false">SUM('Ablesewerte Strom'!D179-'Ablesewerte Strom'!C179)</f>
        <v>1892.90000000002</v>
      </c>
      <c r="E190" s="54" t="n">
        <f aca="false">SUM('Ablesewerte Strom'!E179-'Ablesewerte Strom'!D179)</f>
        <v>2150.40000000002</v>
      </c>
      <c r="F190" s="54" t="n">
        <f aca="false">SUM('Ablesewerte Strom'!F179-'Ablesewerte Strom'!E179)</f>
        <v>2383.19999999995</v>
      </c>
      <c r="G190" s="54" t="n">
        <f aca="false">SUM('Ablesewerte Strom'!G179-'Ablesewerte Strom'!F179)</f>
        <v>1489.09999999998</v>
      </c>
      <c r="H190" s="54" t="n">
        <f aca="false">SUM('Ablesewerte Strom'!H179-'Ablesewerte Strom'!G179)</f>
        <v>1955.09999999998</v>
      </c>
      <c r="I190" s="54" t="n">
        <f aca="false">SUM('Ablesewerte Strom'!I179-'Ablesewerte Strom'!H179)</f>
        <v>2066.30000000005</v>
      </c>
      <c r="J190" s="54" t="n">
        <f aca="false">SUM('Ablesewerte Strom'!J179-'Ablesewerte Strom'!I179)</f>
        <v>1460.59999999998</v>
      </c>
      <c r="K190" s="54" t="n">
        <f aca="false">SUM('Ablesewerte Strom'!K179-'Ablesewerte Strom'!J179)</f>
        <v>1475.80000000005</v>
      </c>
      <c r="L190" s="54" t="n">
        <f aca="false">SUM('Ablesewerte Strom'!L179-'Ablesewerte Strom'!K179)</f>
        <v>1916.40000000002</v>
      </c>
      <c r="M190" s="54" t="n">
        <f aca="false">SUM('Ablesewerte Strom'!M179-'Ablesewerte Strom'!L179)</f>
        <v>2477.5</v>
      </c>
      <c r="N190" s="54" t="n">
        <f aca="false">SUM('Ablesewerte Strom'!N179-'Ablesewerte Strom'!M179)</f>
        <v>2983.89999999991</v>
      </c>
      <c r="O190" s="54" t="n">
        <f aca="false">SUM('Ablesewerte Strom'!O179-'Ablesewerte Strom'!N179)</f>
        <v>2070.80000000005</v>
      </c>
      <c r="Q190" s="54" t="n">
        <v>24322</v>
      </c>
    </row>
    <row r="191" customFormat="false" ht="12.75" hidden="false" customHeight="false" outlineLevel="0" collapsed="false">
      <c r="A191" s="1" t="s">
        <v>28</v>
      </c>
      <c r="D191" s="54" t="n">
        <f aca="false">SUM('Ablesewerte Strom'!D180-'Ablesewerte Strom'!C180)</f>
        <v>1334.79999999999</v>
      </c>
      <c r="E191" s="54" t="n">
        <f aca="false">SUM('Ablesewerte Strom'!E180-'Ablesewerte Strom'!D180)</f>
        <v>1493.59999999998</v>
      </c>
      <c r="F191" s="54" t="n">
        <f aca="false">SUM('Ablesewerte Strom'!F180-'Ablesewerte Strom'!E180)</f>
        <v>1713.60000000004</v>
      </c>
      <c r="G191" s="54" t="n">
        <f aca="false">SUM('Ablesewerte Strom'!G180-'Ablesewerte Strom'!F180)</f>
        <v>1050.69999999995</v>
      </c>
      <c r="H191" s="54" t="n">
        <f aca="false">SUM('Ablesewerte Strom'!H180-'Ablesewerte Strom'!G180)</f>
        <v>1329.5</v>
      </c>
      <c r="I191" s="54" t="n">
        <f aca="false">SUM('Ablesewerte Strom'!I180-'Ablesewerte Strom'!H180)</f>
        <v>1331.40000000002</v>
      </c>
      <c r="J191" s="54" t="n">
        <f aca="false">SUM('Ablesewerte Strom'!J180-'Ablesewerte Strom'!I180)</f>
        <v>920.799999999988</v>
      </c>
      <c r="K191" s="54" t="n">
        <f aca="false">SUM('Ablesewerte Strom'!K180-'Ablesewerte Strom'!J180)</f>
        <v>1021.20000000001</v>
      </c>
      <c r="L191" s="54" t="n">
        <f aca="false">SUM('Ablesewerte Strom'!L180-'Ablesewerte Strom'!K180)</f>
        <v>1215.09999999998</v>
      </c>
      <c r="M191" s="54" t="n">
        <f aca="false">SUM('Ablesewerte Strom'!M180-'Ablesewerte Strom'!L180)</f>
        <v>1659.10000000004</v>
      </c>
      <c r="N191" s="54" t="n">
        <f aca="false">SUM('Ablesewerte Strom'!N180-'Ablesewerte Strom'!M180)</f>
        <v>2062.70000000001</v>
      </c>
      <c r="O191" s="54" t="n">
        <f aca="false">SUM('Ablesewerte Strom'!O180-'Ablesewerte Strom'!N180)</f>
        <v>1439.09999999998</v>
      </c>
      <c r="Q191" s="54" t="n">
        <f aca="false">SUM(D191:O191)</f>
        <v>16571.6</v>
      </c>
    </row>
    <row r="192" customFormat="false" ht="12.75" hidden="false" customHeight="false" outlineLevel="0" collapsed="false">
      <c r="A192" s="1" t="s">
        <v>29</v>
      </c>
      <c r="D192" s="54" t="n">
        <f aca="false">SUM('Ablesewerte Strom'!D181-'Ablesewerte Strom'!C181)</f>
        <v>0</v>
      </c>
      <c r="E192" s="54" t="n">
        <f aca="false">SUM('Ablesewerte Strom'!E181-'Ablesewerte Strom'!D181)</f>
        <v>0</v>
      </c>
      <c r="F192" s="54" t="n">
        <f aca="false">SUM('Ablesewerte Strom'!F181-'Ablesewerte Strom'!E181)</f>
        <v>0</v>
      </c>
      <c r="G192" s="54" t="n">
        <f aca="false">SUM('Ablesewerte Strom'!G181-'Ablesewerte Strom'!F181)</f>
        <v>0</v>
      </c>
      <c r="H192" s="54" t="n">
        <f aca="false">SUM('Ablesewerte Strom'!H181-'Ablesewerte Strom'!G181)</f>
        <v>0</v>
      </c>
      <c r="I192" s="54" t="n">
        <f aca="false">SUM('Ablesewerte Strom'!I181-'Ablesewerte Strom'!H181)</f>
        <v>0</v>
      </c>
      <c r="J192" s="54" t="n">
        <f aca="false">SUM('Ablesewerte Strom'!J181-'Ablesewerte Strom'!I181)</f>
        <v>0</v>
      </c>
      <c r="K192" s="54" t="n">
        <f aca="false">SUM('Ablesewerte Strom'!K181-'Ablesewerte Strom'!J181)</f>
        <v>0</v>
      </c>
      <c r="L192" s="54" t="n">
        <f aca="false">SUM('Ablesewerte Strom'!L181-'Ablesewerte Strom'!K181)</f>
        <v>0</v>
      </c>
      <c r="M192" s="54" t="n">
        <f aca="false">SUM('Ablesewerte Strom'!M181-'Ablesewerte Strom'!L181)</f>
        <v>0</v>
      </c>
      <c r="N192" s="54" t="n">
        <f aca="false">SUM('Ablesewerte Strom'!N181-'Ablesewerte Strom'!M181)</f>
        <v>0</v>
      </c>
      <c r="O192" s="54" t="n">
        <f aca="false">SUM('Ablesewerte Strom'!O181-'Ablesewerte Strom'!N181)</f>
        <v>0</v>
      </c>
      <c r="Q192" s="54" t="n">
        <f aca="false">SUM(D192:P192)</f>
        <v>0</v>
      </c>
    </row>
    <row r="193" customFormat="false" ht="12.75" hidden="false" customHeight="false" outlineLevel="0" collapsed="false">
      <c r="A193" s="1" t="s">
        <v>30</v>
      </c>
      <c r="D193" s="54" t="n">
        <f aca="false">SUM('Ablesewerte Strom'!D182-'Ablesewerte Strom'!C182)</f>
        <v>0</v>
      </c>
      <c r="E193" s="54" t="n">
        <f aca="false">SUM('Ablesewerte Strom'!E182-'Ablesewerte Strom'!D182)</f>
        <v>0</v>
      </c>
      <c r="F193" s="54" t="n">
        <f aca="false">SUM('Ablesewerte Strom'!F182-'Ablesewerte Strom'!E182)</f>
        <v>0</v>
      </c>
      <c r="G193" s="54" t="n">
        <f aca="false">SUM('Ablesewerte Strom'!G182-'Ablesewerte Strom'!F182)</f>
        <v>182</v>
      </c>
      <c r="H193" s="54" t="n">
        <f aca="false">SUM('Ablesewerte Strom'!H182-'Ablesewerte Strom'!G182)</f>
        <v>0</v>
      </c>
      <c r="I193" s="54" t="n">
        <f aca="false">SUM('Ablesewerte Strom'!I182-'Ablesewerte Strom'!H182)</f>
        <v>0</v>
      </c>
      <c r="J193" s="54" t="n">
        <f aca="false">SUM('Ablesewerte Strom'!J182-'Ablesewerte Strom'!I182)</f>
        <v>0</v>
      </c>
      <c r="K193" s="54" t="n">
        <f aca="false">SUM('Ablesewerte Strom'!K182-'Ablesewerte Strom'!J182)</f>
        <v>0</v>
      </c>
      <c r="L193" s="54" t="n">
        <f aca="false">SUM('Ablesewerte Strom'!L182-'Ablesewerte Strom'!K182)</f>
        <v>0</v>
      </c>
      <c r="M193" s="54" t="n">
        <f aca="false">SUM('Ablesewerte Strom'!M182-'Ablesewerte Strom'!L182)</f>
        <v>0</v>
      </c>
      <c r="N193" s="54" t="n">
        <f aca="false">SUM('Ablesewerte Strom'!N182-'Ablesewerte Strom'!M182)</f>
        <v>0</v>
      </c>
      <c r="O193" s="54" t="n">
        <f aca="false">SUM('Ablesewerte Strom'!O182-'Ablesewerte Strom'!N182)</f>
        <v>214</v>
      </c>
      <c r="Q193" s="54" t="n">
        <f aca="false">SUM(D193:P193)</f>
        <v>396</v>
      </c>
    </row>
    <row r="194" customFormat="false" ht="12.75" hidden="false" customHeight="false" outlineLevel="0" collapsed="false">
      <c r="A194" s="1" t="s">
        <v>31</v>
      </c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</row>
    <row r="195" customFormat="false" ht="12.75" hidden="false" customHeight="false" outlineLevel="0" collapsed="false"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Q195" s="54" t="n">
        <f aca="false">SUM(D194:O195)</f>
        <v>0</v>
      </c>
    </row>
    <row r="196" customFormat="false" ht="12.75" hidden="false" customHeight="false" outlineLevel="0" collapsed="false">
      <c r="A196" s="1" t="s">
        <v>48</v>
      </c>
      <c r="D196" s="54" t="n">
        <f aca="false">SUM('Ablesewerte Strom'!D184-'Ablesewerte Strom'!C184)</f>
        <v>12.4500000000007</v>
      </c>
      <c r="E196" s="54" t="n">
        <f aca="false">SUM('Ablesewerte Strom'!E184-'Ablesewerte Strom'!D184)</f>
        <v>29.3099999999995</v>
      </c>
      <c r="F196" s="54" t="n">
        <f aca="false">SUM('Ablesewerte Strom'!F184-'Ablesewerte Strom'!E184)</f>
        <v>58.2299999999996</v>
      </c>
      <c r="G196" s="54" t="n">
        <f aca="false">SUM('Ablesewerte Strom'!G184-'Ablesewerte Strom'!F184)</f>
        <v>40.6599999999999</v>
      </c>
      <c r="H196" s="54" t="n">
        <f aca="false">SUM('Ablesewerte Strom'!H184-'Ablesewerte Strom'!G184)</f>
        <v>46.7100000000009</v>
      </c>
      <c r="I196" s="54" t="n">
        <f aca="false">SUM('Ablesewerte Strom'!I184-'Ablesewerte Strom'!H184)</f>
        <v>71.1700000000001</v>
      </c>
      <c r="J196" s="54" t="n">
        <f aca="false">SUM('Ablesewerte Strom'!J184-'Ablesewerte Strom'!I184)</f>
        <v>56.2799999999988</v>
      </c>
      <c r="K196" s="54" t="n">
        <f aca="false">SUM('Ablesewerte Strom'!K184-'Ablesewerte Strom'!J184)</f>
        <v>16.9400000000005</v>
      </c>
      <c r="L196" s="54" t="n">
        <f aca="false">SUM('Ablesewerte Strom'!L184-'Ablesewerte Strom'!K184)</f>
        <v>54.4400000000005</v>
      </c>
      <c r="M196" s="54" t="n">
        <f aca="false">SUM('Ablesewerte Strom'!M184-'Ablesewerte Strom'!L184)</f>
        <v>72.8400000000002</v>
      </c>
      <c r="N196" s="54" t="n">
        <f aca="false">SUM('Ablesewerte Strom'!N184-'Ablesewerte Strom'!M184)</f>
        <v>68.2599999999984</v>
      </c>
      <c r="O196" s="54" t="n">
        <f aca="false">SUM('Ablesewerte Strom'!O184-'Ablesewerte Strom'!N184)</f>
        <v>47.5100000000002</v>
      </c>
      <c r="P196" s="54" t="n">
        <f aca="false">SUM(D196:O196)</f>
        <v>574.799999999999</v>
      </c>
    </row>
    <row r="197" customFormat="false" ht="12.75" hidden="false" customHeight="false" outlineLevel="0" collapsed="false">
      <c r="A197" s="1" t="s">
        <v>49</v>
      </c>
      <c r="D197" s="54" t="n">
        <f aca="false">SUM('Ablesewerte Strom'!D185-'Ablesewerte Strom'!C185)</f>
        <v>25.9200000000001</v>
      </c>
      <c r="E197" s="54" t="n">
        <f aca="false">SUM('Ablesewerte Strom'!E185-'Ablesewerte Strom'!D185)</f>
        <v>32.0500000000002</v>
      </c>
      <c r="F197" s="54" t="n">
        <f aca="false">SUM('Ablesewerte Strom'!F185-'Ablesewerte Strom'!E185)</f>
        <v>36.9700000000003</v>
      </c>
      <c r="G197" s="54" t="n">
        <f aca="false">SUM('Ablesewerte Strom'!G185-'Ablesewerte Strom'!F185)</f>
        <v>23.9700000000003</v>
      </c>
      <c r="H197" s="54" t="n">
        <f aca="false">SUM('Ablesewerte Strom'!H185-'Ablesewerte Strom'!G185)</f>
        <v>32.6999999999998</v>
      </c>
      <c r="I197" s="54" t="n">
        <f aca="false">SUM('Ablesewerte Strom'!I185-'Ablesewerte Strom'!H185)</f>
        <v>40.7299999999996</v>
      </c>
      <c r="J197" s="54" t="n">
        <f aca="false">SUM('Ablesewerte Strom'!J185-'Ablesewerte Strom'!I185)</f>
        <v>29.8000000000002</v>
      </c>
      <c r="K197" s="54" t="n">
        <f aca="false">SUM('Ablesewerte Strom'!K185-'Ablesewerte Strom'!J185)</f>
        <v>32.25</v>
      </c>
      <c r="L197" s="54" t="n">
        <f aca="false">SUM('Ablesewerte Strom'!L185-'Ablesewerte Strom'!K185)</f>
        <v>36.1999999999998</v>
      </c>
      <c r="M197" s="54" t="n">
        <f aca="false">SUM('Ablesewerte Strom'!M185-'Ablesewerte Strom'!L185)</f>
        <v>37.7799999999997</v>
      </c>
      <c r="N197" s="54" t="n">
        <f aca="false">SUM('Ablesewerte Strom'!N185-'Ablesewerte Strom'!M185)</f>
        <v>42.7300000000005</v>
      </c>
      <c r="O197" s="54" t="n">
        <f aca="false">SUM('Ablesewerte Strom'!O185-'Ablesewerte Strom'!N185)</f>
        <v>29</v>
      </c>
      <c r="P197" s="54" t="n">
        <f aca="false">SUM(D197:O197)</f>
        <v>400.1</v>
      </c>
    </row>
    <row r="198" customFormat="false" ht="12.75" hidden="false" customHeight="false" outlineLevel="0" collapsed="false">
      <c r="A198" s="1" t="s">
        <v>50</v>
      </c>
      <c r="D198" s="54" t="n">
        <f aca="false">SUM('Ablesewerte Strom'!D186-'Ablesewerte Strom'!C186)</f>
        <v>483.300000000003</v>
      </c>
      <c r="E198" s="54" t="n">
        <f aca="false">SUM('Ablesewerte Strom'!E186-'Ablesewerte Strom'!D186)</f>
        <v>580.300000000003</v>
      </c>
      <c r="F198" s="54" t="n">
        <f aca="false">SUM('Ablesewerte Strom'!F186-'Ablesewerte Strom'!E186)</f>
        <v>1073.7</v>
      </c>
      <c r="G198" s="54" t="n">
        <f aca="false">SUM('Ablesewerte Strom'!G186-'Ablesewerte Strom'!F186)</f>
        <v>582.900000000002</v>
      </c>
      <c r="H198" s="54" t="n">
        <f aca="false">SUM('Ablesewerte Strom'!H186-'Ablesewerte Strom'!G186)</f>
        <v>845.400000000002</v>
      </c>
      <c r="I198" s="54" t="n">
        <f aca="false">SUM('Ablesewerte Strom'!I186-'Ablesewerte Strom'!H186)</f>
        <v>947</v>
      </c>
      <c r="J198" s="54" t="n">
        <f aca="false">SUM('Ablesewerte Strom'!J186-'Ablesewerte Strom'!I186)</f>
        <v>774.699999999997</v>
      </c>
      <c r="K198" s="54" t="n">
        <f aca="false">SUM('Ablesewerte Strom'!K186-'Ablesewerte Strom'!J186)</f>
        <v>559.099999999999</v>
      </c>
      <c r="L198" s="54" t="n">
        <f aca="false">SUM('Ablesewerte Strom'!L186-'Ablesewerte Strom'!K186)</f>
        <v>933.400000000002</v>
      </c>
      <c r="M198" s="54" t="n">
        <f aca="false">SUM('Ablesewerte Strom'!M186-'Ablesewerte Strom'!L186)</f>
        <v>1190</v>
      </c>
      <c r="N198" s="54" t="n">
        <f aca="false">SUM('Ablesewerte Strom'!N186-'Ablesewerte Strom'!M186)</f>
        <v>1330.60000000001</v>
      </c>
      <c r="O198" s="54" t="n">
        <f aca="false">SUM('Ablesewerte Strom'!O186-'Ablesewerte Strom'!N186)</f>
        <v>853.5</v>
      </c>
      <c r="P198" s="54" t="n">
        <f aca="false">SUM(D198:O198)</f>
        <v>10153.9</v>
      </c>
    </row>
    <row r="199" customFormat="false" ht="12.75" hidden="false" customHeight="false" outlineLevel="0" collapsed="false">
      <c r="A199" s="1" t="s">
        <v>39</v>
      </c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</row>
    <row r="200" customFormat="false" ht="12.75" hidden="false" customHeight="false" outlineLevel="0" collapsed="false"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Q200" s="54" t="n">
        <f aca="false">SUM(D199:O200)</f>
        <v>0</v>
      </c>
    </row>
    <row r="201" customFormat="false" ht="12.75" hidden="false" customHeight="false" outlineLevel="0" collapsed="false">
      <c r="A201" s="1" t="s">
        <v>53</v>
      </c>
      <c r="D201" s="54" t="n">
        <f aca="false">SUM('Ablesewerte Strom'!D188-'Ablesewerte Strom'!C188)</f>
        <v>654.600000000006</v>
      </c>
      <c r="E201" s="54" t="n">
        <f aca="false">SUM('Ablesewerte Strom'!E188-'Ablesewerte Strom'!D188)</f>
        <v>795</v>
      </c>
      <c r="F201" s="54" t="n">
        <f aca="false">SUM('Ablesewerte Strom'!F188-'Ablesewerte Strom'!E188)</f>
        <v>800.5</v>
      </c>
      <c r="G201" s="54" t="n">
        <f aca="false">SUM('Ablesewerte Strom'!G188-'Ablesewerte Strom'!F188)</f>
        <v>505.399999999994</v>
      </c>
      <c r="H201" s="54" t="n">
        <f aca="false">SUM('Ablesewerte Strom'!H188-'Ablesewerte Strom'!G188)</f>
        <v>683.5</v>
      </c>
      <c r="I201" s="54" t="n">
        <f aca="false">SUM('Ablesewerte Strom'!I188-'Ablesewerte Strom'!H188)</f>
        <v>563.400000000023</v>
      </c>
      <c r="J201" s="54" t="n">
        <f aca="false">SUM('Ablesewerte Strom'!J188-'Ablesewerte Strom'!I188)</f>
        <v>482.599999999977</v>
      </c>
      <c r="K201" s="54" t="n">
        <f aca="false">SUM('Ablesewerte Strom'!K188-'Ablesewerte Strom'!J188)</f>
        <v>866.300000000018</v>
      </c>
      <c r="L201" s="54" t="n">
        <f aca="false">SUM('Ablesewerte Strom'!L188-'Ablesewerte Strom'!K188)</f>
        <v>746.199999999983</v>
      </c>
      <c r="M201" s="54" t="n">
        <f aca="false">SUM('Ablesewerte Strom'!M188-'Ablesewerte Strom'!L188)</f>
        <v>663.300000000018</v>
      </c>
      <c r="N201" s="54" t="n">
        <f aca="false">SUM('Ablesewerte Strom'!N188-'Ablesewerte Strom'!M188)</f>
        <v>6193.19999999998</v>
      </c>
      <c r="O201" s="54" t="n">
        <f aca="false">SUM('Ablesewerte Strom'!O188-'Ablesewerte Strom'!N188)</f>
        <v>3017.40000000002</v>
      </c>
      <c r="P201" s="54" t="n">
        <f aca="false">SUM(D201:O201)</f>
        <v>15971.4</v>
      </c>
      <c r="Q201" s="1" t="s">
        <v>54</v>
      </c>
      <c r="R201" s="81" t="n">
        <f aca="false">SUM(Q190:Q200)</f>
        <v>41289.6</v>
      </c>
    </row>
    <row r="202" customFormat="false" ht="12.75" hidden="false" customHeight="false" outlineLevel="0" collapsed="false">
      <c r="A202" s="82" t="s">
        <v>41</v>
      </c>
      <c r="B202" s="23"/>
      <c r="C202" s="24"/>
      <c r="D202" s="54" t="n">
        <f aca="false">SUM('Ablesewerte Strom'!D189-'Ablesewerte Strom'!C189)</f>
        <v>20256</v>
      </c>
      <c r="E202" s="54" t="n">
        <f aca="false">SUM('Ablesewerte Strom'!E189-'Ablesewerte Strom'!D189)</f>
        <v>24618</v>
      </c>
      <c r="F202" s="54" t="n">
        <f aca="false">SUM('Ablesewerte Strom'!F189-'Ablesewerte Strom'!E189)</f>
        <v>26056.1499999999</v>
      </c>
      <c r="G202" s="54" t="n">
        <f aca="false">SUM('Ablesewerte Strom'!G189-'Ablesewerte Strom'!F189)</f>
        <v>15991.6000000001</v>
      </c>
      <c r="H202" s="54" t="n">
        <f aca="false">SUM('Ablesewerte Strom'!H189-'Ablesewerte Strom'!G189)</f>
        <v>17802.0600000001</v>
      </c>
      <c r="I202" s="54" t="n">
        <f aca="false">SUM('Ablesewerte Strom'!I189-'Ablesewerte Strom'!H189)</f>
        <v>7575.58999999985</v>
      </c>
      <c r="J202" s="54" t="n">
        <f aca="false">SUM('Ablesewerte Strom'!J189-'Ablesewerte Strom'!I189)</f>
        <v>5871.54000000004</v>
      </c>
      <c r="K202" s="54" t="n">
        <f aca="false">SUM('Ablesewerte Strom'!K189-'Ablesewerte Strom'!J189)</f>
        <v>11454.6189999999</v>
      </c>
      <c r="L202" s="54" t="n">
        <f aca="false">SUM('Ablesewerte Strom'!L189-'Ablesewerte Strom'!K189)</f>
        <v>14056.4710000001</v>
      </c>
      <c r="M202" s="54" t="n">
        <f aca="false">SUM('Ablesewerte Strom'!M189-'Ablesewerte Strom'!L189)</f>
        <v>21438.8999999999</v>
      </c>
      <c r="N202" s="54" t="n">
        <f aca="false">SUM('Ablesewerte Strom'!N189-'Ablesewerte Strom'!M189)</f>
        <v>20768.5800000001</v>
      </c>
      <c r="O202" s="54" t="n">
        <f aca="false">SUM('Ablesewerte Strom'!O189-'Ablesewerte Strom'!N189)</f>
        <v>16309.3200000001</v>
      </c>
      <c r="P202" s="23"/>
      <c r="Q202" s="23"/>
      <c r="R202" s="23"/>
    </row>
    <row r="203" customFormat="false" ht="13.8" hidden="false" customHeight="false" outlineLevel="0" collapsed="false">
      <c r="A203" s="83" t="s">
        <v>42</v>
      </c>
      <c r="B203" s="23"/>
      <c r="C203" s="24"/>
      <c r="D203" s="54" t="n">
        <f aca="false">SUM('Ablesewerte Strom'!D190-'Ablesewerte Strom'!C190)</f>
        <v>102</v>
      </c>
      <c r="E203" s="54" t="n">
        <f aca="false">SUM('Ablesewerte Strom'!E190-'Ablesewerte Strom'!D190)</f>
        <v>121.4</v>
      </c>
      <c r="F203" s="54" t="n">
        <f aca="false">SUM('Ablesewerte Strom'!F190-'Ablesewerte Strom'!E190)</f>
        <v>117</v>
      </c>
      <c r="G203" s="54" t="n">
        <f aca="false">SUM('Ablesewerte Strom'!G190-'Ablesewerte Strom'!F190)</f>
        <v>70.9000000000006</v>
      </c>
      <c r="H203" s="54" t="n">
        <f aca="false">SUM('Ablesewerte Strom'!H190-'Ablesewerte Strom'!G190)</f>
        <v>78.8999999999996</v>
      </c>
      <c r="I203" s="54" t="n">
        <f aca="false">SUM('Ablesewerte Strom'!I190-'Ablesewerte Strom'!H190)</f>
        <v>25.5</v>
      </c>
      <c r="J203" s="54" t="n">
        <f aca="false">SUM('Ablesewerte Strom'!J190-'Ablesewerte Strom'!I190)</f>
        <v>14.1999999999998</v>
      </c>
      <c r="K203" s="54" t="n">
        <f aca="false">SUM('Ablesewerte Strom'!K190-'Ablesewerte Strom'!J190)</f>
        <v>46.4000000000005</v>
      </c>
      <c r="L203" s="54" t="n">
        <f aca="false">SUM('Ablesewerte Strom'!L190-'Ablesewerte Strom'!K190)</f>
        <v>42.5999999999995</v>
      </c>
      <c r="M203" s="54" t="n">
        <f aca="false">SUM('Ablesewerte Strom'!M190-'Ablesewerte Strom'!L190)</f>
        <v>65.9000000000006</v>
      </c>
      <c r="N203" s="54" t="n">
        <f aca="false">SUM('Ablesewerte Strom'!N190-'Ablesewerte Strom'!M190)</f>
        <v>59</v>
      </c>
      <c r="O203" s="54" t="n">
        <f aca="false">SUM('Ablesewerte Strom'!O190-'Ablesewerte Strom'!N190)</f>
        <v>46.8000000000002</v>
      </c>
      <c r="P203" s="23"/>
      <c r="Q203" s="23"/>
      <c r="R203" s="23"/>
    </row>
    <row r="204" customFormat="false" ht="12.75" hidden="false" customHeight="false" outlineLevel="0" collapsed="false">
      <c r="A204" s="82" t="s">
        <v>43</v>
      </c>
      <c r="B204" s="23"/>
      <c r="C204" s="23"/>
      <c r="D204" s="54" t="n">
        <f aca="false">SUM('Ablesewerte Strom'!D191-'Ablesewerte Strom'!C191)</f>
        <v>598</v>
      </c>
      <c r="E204" s="54" t="n">
        <f aca="false">SUM('Ablesewerte Strom'!E191-'Ablesewerte Strom'!D191)</f>
        <v>1931</v>
      </c>
      <c r="F204" s="54" t="n">
        <f aca="false">SUM('Ablesewerte Strom'!F191-'Ablesewerte Strom'!E191)</f>
        <v>3324</v>
      </c>
      <c r="G204" s="54" t="n">
        <f aca="false">SUM('Ablesewerte Strom'!G191-'Ablesewerte Strom'!F191)</f>
        <v>2767</v>
      </c>
      <c r="H204" s="54" t="n">
        <f aca="false">SUM('Ablesewerte Strom'!H191-'Ablesewerte Strom'!G191)</f>
        <v>3561</v>
      </c>
      <c r="I204" s="54" t="n">
        <f aca="false">SUM('Ablesewerte Strom'!I191-'Ablesewerte Strom'!H191)</f>
        <v>4170</v>
      </c>
      <c r="J204" s="54" t="n">
        <f aca="false">SUM('Ablesewerte Strom'!J191-'Ablesewerte Strom'!I191)</f>
        <v>2645</v>
      </c>
      <c r="K204" s="54" t="n">
        <f aca="false">SUM('Ablesewerte Strom'!K191-'Ablesewerte Strom'!J191)</f>
        <v>3618</v>
      </c>
      <c r="L204" s="54" t="n">
        <f aca="false">SUM('Ablesewerte Strom'!L191-'Ablesewerte Strom'!K191)</f>
        <v>3184</v>
      </c>
      <c r="M204" s="54" t="n">
        <f aca="false">SUM('Ablesewerte Strom'!M191-'Ablesewerte Strom'!L191)</f>
        <v>1995</v>
      </c>
      <c r="N204" s="54" t="n">
        <f aca="false">SUM('Ablesewerte Strom'!N191-'Ablesewerte Strom'!M191)</f>
        <v>838</v>
      </c>
      <c r="O204" s="54" t="n">
        <f aca="false">SUM('Ablesewerte Strom'!O191-'Ablesewerte Strom'!N191)</f>
        <v>328</v>
      </c>
      <c r="P204" s="23"/>
      <c r="Q204" s="24" t="n">
        <f aca="false">SUM(D204:P204)</f>
        <v>28959</v>
      </c>
      <c r="R204" s="23"/>
    </row>
    <row r="207" customFormat="false" ht="15" hidden="false" customHeight="false" outlineLevel="0" collapsed="false">
      <c r="A207" s="2" t="n">
        <v>2022</v>
      </c>
    </row>
    <row r="208" customFormat="false" ht="15" hidden="false" customHeight="false" outlineLevel="0" collapsed="false">
      <c r="A208" s="2" t="s">
        <v>23</v>
      </c>
      <c r="D208" s="79" t="s">
        <v>2</v>
      </c>
      <c r="E208" s="79" t="s">
        <v>3</v>
      </c>
      <c r="F208" s="79" t="s">
        <v>4</v>
      </c>
      <c r="G208" s="79" t="s">
        <v>5</v>
      </c>
      <c r="H208" s="79" t="s">
        <v>6</v>
      </c>
      <c r="I208" s="79" t="s">
        <v>7</v>
      </c>
      <c r="J208" s="79" t="s">
        <v>8</v>
      </c>
      <c r="K208" s="79" t="s">
        <v>9</v>
      </c>
      <c r="L208" s="79" t="s">
        <v>10</v>
      </c>
      <c r="M208" s="79" t="s">
        <v>11</v>
      </c>
      <c r="N208" s="79" t="s">
        <v>12</v>
      </c>
      <c r="O208" s="79" t="s">
        <v>13</v>
      </c>
    </row>
    <row r="210" customFormat="false" ht="12.75" hidden="false" customHeight="false" outlineLevel="0" collapsed="false">
      <c r="A210" s="1" t="s">
        <v>27</v>
      </c>
      <c r="D210" s="54" t="n">
        <f aca="false">SUM('Ablesewerte Strom'!D198-'Ablesewerte Strom'!C198)</f>
        <v>2027.90000000002</v>
      </c>
      <c r="E210" s="54" t="n">
        <f aca="false">SUM('Ablesewerte Strom'!E198-'Ablesewerte Strom'!D198)</f>
        <v>2350.59999999998</v>
      </c>
      <c r="F210" s="54" t="n">
        <f aca="false">SUM('Ablesewerte Strom'!F198-'Ablesewerte Strom'!E198)</f>
        <v>2676.69999999995</v>
      </c>
      <c r="G210" s="54" t="n">
        <f aca="false">SUM('Ablesewerte Strom'!G198-'Ablesewerte Strom'!F198)</f>
        <v>2111.80000000005</v>
      </c>
      <c r="H210" s="54" t="n">
        <f aca="false">SUM('Ablesewerte Strom'!H198-'Ablesewerte Strom'!G198)</f>
        <v>2195</v>
      </c>
      <c r="I210" s="54" t="n">
        <f aca="false">SUM('Ablesewerte Strom'!I198-'Ablesewerte Strom'!H198)</f>
        <v>1715.40000000002</v>
      </c>
      <c r="J210" s="54" t="n">
        <f aca="false">SUM('Ablesewerte Strom'!J198-'Ablesewerte Strom'!I198)</f>
        <v>1627.40000000002</v>
      </c>
      <c r="K210" s="54" t="n">
        <f aca="false">SUM('Ablesewerte Strom'!K198-'Ablesewerte Strom'!J198)</f>
        <v>1383.89999999991</v>
      </c>
      <c r="L210" s="54" t="n">
        <f aca="false">SUM('Ablesewerte Strom'!L198-'Ablesewerte Strom'!K198)</f>
        <v>2232.30000000005</v>
      </c>
      <c r="M210" s="54" t="n">
        <f aca="false">SUM('Ablesewerte Strom'!M198-'Ablesewerte Strom'!L198)</f>
        <v>2107</v>
      </c>
      <c r="N210" s="54" t="n">
        <f aca="false">SUM('Ablesewerte Strom'!N198-'Ablesewerte Strom'!M198)</f>
        <v>2463</v>
      </c>
      <c r="O210" s="54" t="n">
        <f aca="false">SUM('Ablesewerte Strom'!O198-'Ablesewerte Strom'!N198)</f>
        <v>1960</v>
      </c>
      <c r="Q210" s="54" t="n">
        <f aca="false">SUM(D210:O210)</f>
        <v>24851</v>
      </c>
    </row>
    <row r="211" customFormat="false" ht="12.75" hidden="false" customHeight="false" outlineLevel="0" collapsed="false">
      <c r="A211" s="1" t="s">
        <v>28</v>
      </c>
      <c r="D211" s="54" t="n">
        <f aca="false">SUM('Ablesewerte Strom'!D199-'Ablesewerte Strom'!C199)</f>
        <v>1400.09999999998</v>
      </c>
      <c r="E211" s="54" t="n">
        <f aca="false">SUM('Ablesewerte Strom'!E199-'Ablesewerte Strom'!D199)</f>
        <v>1585.30000000005</v>
      </c>
      <c r="F211" s="54" t="n">
        <f aca="false">SUM('Ablesewerte Strom'!F199-'Ablesewerte Strom'!E199)</f>
        <v>1862.09999999998</v>
      </c>
      <c r="G211" s="54" t="n">
        <f aca="false">SUM('Ablesewerte Strom'!G199-'Ablesewerte Strom'!F199)</f>
        <v>1545.5</v>
      </c>
      <c r="H211" s="54" t="n">
        <f aca="false">SUM('Ablesewerte Strom'!H199-'Ablesewerte Strom'!G199)</f>
        <v>1513.20000000001</v>
      </c>
      <c r="I211" s="54" t="n">
        <f aca="false">SUM('Ablesewerte Strom'!I199-'Ablesewerte Strom'!H199)</f>
        <v>1170.20000000001</v>
      </c>
      <c r="J211" s="54" t="n">
        <f aca="false">SUM('Ablesewerte Strom'!J199-'Ablesewerte Strom'!I199)</f>
        <v>1162.59999999998</v>
      </c>
      <c r="K211" s="54" t="n">
        <f aca="false">SUM('Ablesewerte Strom'!K199-'Ablesewerte Strom'!J199)</f>
        <v>989.200000000012</v>
      </c>
      <c r="L211" s="54" t="n">
        <f aca="false">SUM('Ablesewerte Strom'!L199-'Ablesewerte Strom'!K199)</f>
        <v>1530.79999999999</v>
      </c>
      <c r="M211" s="54" t="n">
        <f aca="false">SUM('Ablesewerte Strom'!M199-'Ablesewerte Strom'!L199)</f>
        <v>1437</v>
      </c>
      <c r="N211" s="54" t="n">
        <f aca="false">SUM('Ablesewerte Strom'!N199-'Ablesewerte Strom'!M199)</f>
        <v>1702</v>
      </c>
      <c r="O211" s="54" t="n">
        <f aca="false">SUM('Ablesewerte Strom'!O199-'Ablesewerte Strom'!N199)</f>
        <v>1401</v>
      </c>
      <c r="Q211" s="54" t="n">
        <f aca="false">SUM(D211:O211)</f>
        <v>17299</v>
      </c>
    </row>
    <row r="212" customFormat="false" ht="12.75" hidden="false" customHeight="false" outlineLevel="0" collapsed="false">
      <c r="A212" s="1" t="s">
        <v>29</v>
      </c>
      <c r="D212" s="54" t="n">
        <f aca="false">SUM('Ablesewerte Strom'!D200-'Ablesewerte Strom'!C200)</f>
        <v>0</v>
      </c>
      <c r="E212" s="54" t="n">
        <f aca="false">SUM('Ablesewerte Strom'!E200-'Ablesewerte Strom'!D200)</f>
        <v>0</v>
      </c>
      <c r="F212" s="54" t="n">
        <f aca="false">SUM('Ablesewerte Strom'!F200-'Ablesewerte Strom'!E200)</f>
        <v>0</v>
      </c>
      <c r="G212" s="54" t="n">
        <f aca="false">SUM('Ablesewerte Strom'!G200-'Ablesewerte Strom'!F200)</f>
        <v>0</v>
      </c>
      <c r="H212" s="54" t="n">
        <f aca="false">SUM('Ablesewerte Strom'!H200-'Ablesewerte Strom'!G200)</f>
        <v>0</v>
      </c>
      <c r="I212" s="54" t="n">
        <f aca="false">SUM('Ablesewerte Strom'!I200-'Ablesewerte Strom'!H200)</f>
        <v>0</v>
      </c>
      <c r="J212" s="54" t="n">
        <f aca="false">SUM('Ablesewerte Strom'!J200-'Ablesewerte Strom'!I200)</f>
        <v>0</v>
      </c>
      <c r="K212" s="54" t="n">
        <f aca="false">SUM('Ablesewerte Strom'!K200-'Ablesewerte Strom'!J200)</f>
        <v>0</v>
      </c>
      <c r="L212" s="54" t="n">
        <f aca="false">SUM('Ablesewerte Strom'!L200-'Ablesewerte Strom'!K200)</f>
        <v>0</v>
      </c>
      <c r="M212" s="54" t="n">
        <f aca="false">SUM('Ablesewerte Strom'!M200-'Ablesewerte Strom'!L200)</f>
        <v>0</v>
      </c>
      <c r="N212" s="54" t="n">
        <f aca="false">SUM('Ablesewerte Strom'!N200-'Ablesewerte Strom'!M200)</f>
        <v>0</v>
      </c>
      <c r="O212" s="54" t="n">
        <f aca="false">SUM('Ablesewerte Strom'!O200-'Ablesewerte Strom'!N200)</f>
        <v>0</v>
      </c>
      <c r="Q212" s="54" t="n">
        <f aca="false">SUM(D212:P212)</f>
        <v>0</v>
      </c>
    </row>
    <row r="213" customFormat="false" ht="12.75" hidden="false" customHeight="false" outlineLevel="0" collapsed="false">
      <c r="A213" s="1" t="s">
        <v>30</v>
      </c>
      <c r="D213" s="54" t="n">
        <f aca="false">SUM('Ablesewerte Strom'!D201-'Ablesewerte Strom'!C201)</f>
        <v>0</v>
      </c>
      <c r="E213" s="54" t="n">
        <f aca="false">SUM('Ablesewerte Strom'!E201-'Ablesewerte Strom'!D201)</f>
        <v>0</v>
      </c>
      <c r="F213" s="54" t="n">
        <f aca="false">SUM('Ablesewerte Strom'!F201-'Ablesewerte Strom'!E201)</f>
        <v>0</v>
      </c>
      <c r="G213" s="54" t="n">
        <f aca="false">SUM('Ablesewerte Strom'!G201-'Ablesewerte Strom'!F201)</f>
        <v>165</v>
      </c>
      <c r="H213" s="54" t="n">
        <f aca="false">SUM('Ablesewerte Strom'!H201-'Ablesewerte Strom'!G201)</f>
        <v>49</v>
      </c>
      <c r="I213" s="54" t="n">
        <f aca="false">SUM('Ablesewerte Strom'!I201-'Ablesewerte Strom'!H201)</f>
        <v>30</v>
      </c>
      <c r="J213" s="54" t="n">
        <f aca="false">SUM('Ablesewerte Strom'!J201-'Ablesewerte Strom'!I201)</f>
        <v>22</v>
      </c>
      <c r="K213" s="54" t="n">
        <f aca="false">SUM('Ablesewerte Strom'!K201-'Ablesewerte Strom'!J201)</f>
        <v>32</v>
      </c>
      <c r="L213" s="54" t="n">
        <f aca="false">SUM('Ablesewerte Strom'!L201-'Ablesewerte Strom'!K201)</f>
        <v>32</v>
      </c>
      <c r="M213" s="54" t="n">
        <f aca="false">SUM('Ablesewerte Strom'!M201-'Ablesewerte Strom'!L201)</f>
        <v>27</v>
      </c>
      <c r="N213" s="54" t="n">
        <f aca="false">SUM('Ablesewerte Strom'!N201-'Ablesewerte Strom'!M201)</f>
        <v>31</v>
      </c>
      <c r="O213" s="54" t="n">
        <f aca="false">SUM('Ablesewerte Strom'!O201-'Ablesewerte Strom'!N201)</f>
        <v>22</v>
      </c>
      <c r="Q213" s="54" t="n">
        <f aca="false">SUM(D213:P213)</f>
        <v>410</v>
      </c>
    </row>
    <row r="214" customFormat="false" ht="12.75" hidden="false" customHeight="false" outlineLevel="0" collapsed="false">
      <c r="A214" s="1" t="s">
        <v>31</v>
      </c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</row>
    <row r="215" customFormat="false" ht="12.75" hidden="false" customHeight="false" outlineLevel="0" collapsed="false"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Q215" s="54" t="n">
        <f aca="false">SUM(D214:O215)</f>
        <v>0</v>
      </c>
    </row>
    <row r="216" customFormat="false" ht="12.75" hidden="false" customHeight="false" outlineLevel="0" collapsed="false">
      <c r="A216" s="1" t="s">
        <v>48</v>
      </c>
      <c r="D216" s="54" t="n">
        <f aca="false">SUM('Ablesewerte Strom'!D203-'Ablesewerte Strom'!C203)</f>
        <v>51.4699999999993</v>
      </c>
      <c r="E216" s="54" t="n">
        <f aca="false">SUM('Ablesewerte Strom'!E203-'Ablesewerte Strom'!D203)</f>
        <v>65.710000000001</v>
      </c>
      <c r="F216" s="54" t="n">
        <f aca="false">SUM('Ablesewerte Strom'!F203-'Ablesewerte Strom'!E203)</f>
        <v>72.3199999999997</v>
      </c>
      <c r="G216" s="54" t="n">
        <f aca="false">SUM('Ablesewerte Strom'!G203-'Ablesewerte Strom'!F203)</f>
        <v>52.5</v>
      </c>
      <c r="H216" s="54" t="n">
        <f aca="false">SUM('Ablesewerte Strom'!H203-'Ablesewerte Strom'!G203)</f>
        <v>77.7000000000007</v>
      </c>
      <c r="I216" s="54" t="n">
        <f aca="false">SUM('Ablesewerte Strom'!I203-'Ablesewerte Strom'!H203)</f>
        <v>51.5</v>
      </c>
      <c r="J216" s="54" t="n">
        <f aca="false">SUM('Ablesewerte Strom'!J203-'Ablesewerte Strom'!I203)</f>
        <v>57.8899999999994</v>
      </c>
      <c r="K216" s="54" t="n">
        <f aca="false">SUM('Ablesewerte Strom'!K203-'Ablesewerte Strom'!J203)</f>
        <v>48.6299999999992</v>
      </c>
      <c r="L216" s="54" t="n">
        <f aca="false">SUM('Ablesewerte Strom'!L203-'Ablesewerte Strom'!K203)</f>
        <v>0</v>
      </c>
      <c r="M216" s="54" t="n">
        <f aca="false">SUM('Ablesewerte Strom'!M203-'Ablesewerte Strom'!L203)</f>
        <v>1603</v>
      </c>
      <c r="N216" s="54" t="n">
        <f aca="false">SUM('Ablesewerte Strom'!N203-'Ablesewerte Strom'!M203)</f>
        <v>3605</v>
      </c>
      <c r="O216" s="54" t="n">
        <f aca="false">SUM('Ablesewerte Strom'!O203-'Ablesewerte Strom'!N203)</f>
        <v>2680.28</v>
      </c>
      <c r="P216" s="54" t="n">
        <f aca="false">SUM(D216:O216)</f>
        <v>8366</v>
      </c>
    </row>
    <row r="217" customFormat="false" ht="12.75" hidden="false" customHeight="false" outlineLevel="0" collapsed="false">
      <c r="A217" s="1" t="s">
        <v>49</v>
      </c>
      <c r="D217" s="54" t="n">
        <f aca="false">SUM('Ablesewerte Strom'!D204-'Ablesewerte Strom'!C204)</f>
        <v>36.6999999999998</v>
      </c>
      <c r="E217" s="54" t="n">
        <f aca="false">SUM('Ablesewerte Strom'!E204-'Ablesewerte Strom'!D204)</f>
        <v>37.9000000000005</v>
      </c>
      <c r="F217" s="54" t="n">
        <f aca="false">SUM('Ablesewerte Strom'!F204-'Ablesewerte Strom'!E204)</f>
        <v>40.0999999999995</v>
      </c>
      <c r="G217" s="54" t="n">
        <f aca="false">SUM('Ablesewerte Strom'!G204-'Ablesewerte Strom'!F204)</f>
        <v>31.3000000000002</v>
      </c>
      <c r="H217" s="54" t="n">
        <f aca="false">SUM('Ablesewerte Strom'!H204-'Ablesewerte Strom'!G204)</f>
        <v>37</v>
      </c>
      <c r="I217" s="54" t="n">
        <f aca="false">SUM('Ablesewerte Strom'!I204-'Ablesewerte Strom'!H204)</f>
        <v>32</v>
      </c>
      <c r="J217" s="54" t="n">
        <f aca="false">SUM('Ablesewerte Strom'!J204-'Ablesewerte Strom'!I204)</f>
        <v>34.6800000000003</v>
      </c>
      <c r="K217" s="54" t="n">
        <f aca="false">SUM('Ablesewerte Strom'!K204-'Ablesewerte Strom'!J204)</f>
        <v>38.0999999999995</v>
      </c>
      <c r="L217" s="54" t="n">
        <f aca="false">SUM('Ablesewerte Strom'!L204-'Ablesewerte Strom'!K204)</f>
        <v>48.2200000000003</v>
      </c>
      <c r="M217" s="54" t="n">
        <f aca="false">SUM('Ablesewerte Strom'!M204-'Ablesewerte Strom'!L204)</f>
        <v>0</v>
      </c>
      <c r="N217" s="54" t="n">
        <f aca="false">SUM('Ablesewerte Strom'!N204-'Ablesewerte Strom'!M204)</f>
        <v>1608</v>
      </c>
      <c r="O217" s="54" t="n">
        <f aca="false">SUM('Ablesewerte Strom'!O204-'Ablesewerte Strom'!N204)</f>
        <v>1453</v>
      </c>
      <c r="P217" s="54" t="n">
        <f aca="false">SUM(D217:O217)</f>
        <v>3397</v>
      </c>
    </row>
    <row r="218" customFormat="false" ht="12.75" hidden="false" customHeight="false" outlineLevel="0" collapsed="false">
      <c r="A218" s="1" t="s">
        <v>50</v>
      </c>
      <c r="D218" s="54" t="n">
        <f aca="false">SUM('Ablesewerte Strom'!D205-'Ablesewerte Strom'!C205)</f>
        <v>908.699999999997</v>
      </c>
      <c r="E218" s="54" t="n">
        <f aca="false">SUM('Ablesewerte Strom'!E205-'Ablesewerte Strom'!D205)</f>
        <v>1113.60000000001</v>
      </c>
      <c r="F218" s="54" t="n">
        <f aca="false">SUM('Ablesewerte Strom'!F205-'Ablesewerte Strom'!E205)</f>
        <v>1197.5</v>
      </c>
      <c r="G218" s="54" t="n">
        <f aca="false">SUM('Ablesewerte Strom'!G205-'Ablesewerte Strom'!F205)</f>
        <v>843.199999999997</v>
      </c>
      <c r="H218" s="54" t="n">
        <f aca="false">SUM('Ablesewerte Strom'!H205-'Ablesewerte Strom'!G205)</f>
        <v>1002.3</v>
      </c>
      <c r="I218" s="54" t="n">
        <f aca="false">SUM('Ablesewerte Strom'!I205-'Ablesewerte Strom'!H205)</f>
        <v>649.099999999991</v>
      </c>
      <c r="J218" s="54" t="n">
        <f aca="false">SUM('Ablesewerte Strom'!J205-'Ablesewerte Strom'!I205)</f>
        <v>654.300000000003</v>
      </c>
      <c r="K218" s="54" t="n">
        <f aca="false">SUM('Ablesewerte Strom'!K205-'Ablesewerte Strom'!J205)</f>
        <v>534.699999999997</v>
      </c>
      <c r="L218" s="54" t="n">
        <f aca="false">SUM('Ablesewerte Strom'!L205-'Ablesewerte Strom'!K205)</f>
        <v>1031.60000000001</v>
      </c>
      <c r="M218" s="54" t="n">
        <f aca="false">SUM('Ablesewerte Strom'!M205-'Ablesewerte Strom'!L205)</f>
        <v>1006</v>
      </c>
      <c r="N218" s="54" t="n">
        <f aca="false">SUM('Ablesewerte Strom'!N205-'Ablesewerte Strom'!M205)</f>
        <v>1102</v>
      </c>
      <c r="O218" s="54" t="n">
        <f aca="false">SUM('Ablesewerte Strom'!O205-'Ablesewerte Strom'!N205)</f>
        <v>839</v>
      </c>
      <c r="P218" s="54" t="n">
        <f aca="false">SUM(D218:O218)</f>
        <v>10882</v>
      </c>
    </row>
    <row r="219" customFormat="false" ht="12.75" hidden="false" customHeight="false" outlineLevel="0" collapsed="false">
      <c r="A219" s="1" t="s">
        <v>39</v>
      </c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</row>
    <row r="220" customFormat="false" ht="12.75" hidden="false" customHeight="false" outlineLevel="0" collapsed="false"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Q220" s="54" t="n">
        <f aca="false">SUM(D219:O220)</f>
        <v>0</v>
      </c>
    </row>
    <row r="221" customFormat="false" ht="12.75" hidden="false" customHeight="false" outlineLevel="0" collapsed="false">
      <c r="A221" s="1" t="s">
        <v>53</v>
      </c>
      <c r="D221" s="54" t="n">
        <f aca="false">SUM('Ablesewerte Strom'!D207-'Ablesewerte Strom'!C207)</f>
        <v>3414</v>
      </c>
      <c r="E221" s="54" t="n">
        <f aca="false">SUM('Ablesewerte Strom'!E207-'Ablesewerte Strom'!D207)</f>
        <v>3683.89999999999</v>
      </c>
      <c r="F221" s="54" t="n">
        <f aca="false">SUM('Ablesewerte Strom'!F207-'Ablesewerte Strom'!E207)</f>
        <v>3784.89999999999</v>
      </c>
      <c r="G221" s="54" t="n">
        <f aca="false">SUM('Ablesewerte Strom'!G207-'Ablesewerte Strom'!F207)</f>
        <v>2621.20000000001</v>
      </c>
      <c r="H221" s="54" t="n">
        <f aca="false">SUM('Ablesewerte Strom'!H207-'Ablesewerte Strom'!G207)</f>
        <v>2504.79999999999</v>
      </c>
      <c r="I221" s="54" t="n">
        <f aca="false">SUM('Ablesewerte Strom'!I207-'Ablesewerte Strom'!H207)</f>
        <v>1365.20000000001</v>
      </c>
      <c r="J221" s="54" t="n">
        <f aca="false">SUM('Ablesewerte Strom'!J207-'Ablesewerte Strom'!I207)</f>
        <v>1224.5</v>
      </c>
      <c r="K221" s="54" t="n">
        <f aca="false">SUM('Ablesewerte Strom'!K207-'Ablesewerte Strom'!J207)</f>
        <v>620.399999999994</v>
      </c>
      <c r="L221" s="54" t="n">
        <f aca="false">SUM('Ablesewerte Strom'!L207-'Ablesewerte Strom'!K207)</f>
        <v>2524.10000000001</v>
      </c>
      <c r="M221" s="54" t="n">
        <f aca="false">SUM('Ablesewerte Strom'!M207-'Ablesewerte Strom'!L207)</f>
        <v>2761</v>
      </c>
      <c r="N221" s="54" t="n">
        <f aca="false">SUM('Ablesewerte Strom'!N207-'Ablesewerte Strom'!M207)</f>
        <v>4210</v>
      </c>
      <c r="O221" s="54" t="n">
        <f aca="false">SUM('Ablesewerte Strom'!O207-'Ablesewerte Strom'!N207)</f>
        <v>2840</v>
      </c>
      <c r="P221" s="54" t="n">
        <f aca="false">SUM(D221:O221)</f>
        <v>31554</v>
      </c>
      <c r="Q221" s="1" t="s">
        <v>54</v>
      </c>
      <c r="R221" s="81" t="n">
        <f aca="false">SUM(Q210:Q220)</f>
        <v>42560</v>
      </c>
    </row>
    <row r="222" customFormat="false" ht="12.75" hidden="false" customHeight="false" outlineLevel="0" collapsed="false">
      <c r="A222" s="82" t="s">
        <v>41</v>
      </c>
      <c r="B222" s="23"/>
      <c r="C222" s="24"/>
      <c r="D222" s="54" t="n">
        <f aca="false">SUM('Ablesewerte Strom'!D208-'Ablesewerte Strom'!C208)</f>
        <v>16300.87</v>
      </c>
      <c r="E222" s="54" t="n">
        <f aca="false">SUM('Ablesewerte Strom'!E208-'Ablesewerte Strom'!D208)</f>
        <v>19608.6</v>
      </c>
      <c r="F222" s="54" t="n">
        <f aca="false">SUM('Ablesewerte Strom'!F208-'Ablesewerte Strom'!E208)</f>
        <v>26307.2</v>
      </c>
      <c r="G222" s="54" t="n">
        <f aca="false">SUM('Ablesewerte Strom'!G208-'Ablesewerte Strom'!F208)</f>
        <v>7111.89999999999</v>
      </c>
      <c r="H222" s="54" t="n">
        <f aca="false">SUM('Ablesewerte Strom'!H208-'Ablesewerte Strom'!G208)</f>
        <v>7493.79999999999</v>
      </c>
      <c r="I222" s="54" t="n">
        <f aca="false">SUM('Ablesewerte Strom'!I208-'Ablesewerte Strom'!H208)</f>
        <v>7092.18000000002</v>
      </c>
      <c r="J222" s="54" t="n">
        <f aca="false">SUM('Ablesewerte Strom'!J208-'Ablesewerte Strom'!I208)</f>
        <v>5918.63999999999</v>
      </c>
      <c r="K222" s="54" t="n">
        <f aca="false">SUM('Ablesewerte Strom'!K208-'Ablesewerte Strom'!J208)</f>
        <v>5441.88000000001</v>
      </c>
      <c r="L222" s="54" t="n">
        <f aca="false">SUM('Ablesewerte Strom'!L208-'Ablesewerte Strom'!K208)</f>
        <v>13989.5</v>
      </c>
      <c r="M222" s="54" t="n">
        <f aca="false">SUM('Ablesewerte Strom'!M208-'Ablesewerte Strom'!L208)</f>
        <v>8436</v>
      </c>
      <c r="N222" s="54" t="n">
        <f aca="false">SUM('Ablesewerte Strom'!N208-'Ablesewerte Strom'!M208)</f>
        <v>16302</v>
      </c>
      <c r="O222" s="54" t="n">
        <f aca="false">SUM('Ablesewerte Strom'!O208-'Ablesewerte Strom'!N208)</f>
        <v>12580</v>
      </c>
      <c r="P222" s="23"/>
      <c r="Q222" s="23"/>
      <c r="R222" s="23"/>
    </row>
    <row r="223" customFormat="false" ht="13.8" hidden="false" customHeight="false" outlineLevel="0" collapsed="false">
      <c r="A223" s="83" t="s">
        <v>42</v>
      </c>
      <c r="B223" s="23"/>
      <c r="C223" s="24"/>
      <c r="D223" s="54" t="n">
        <f aca="false">SUM('Ablesewerte Strom'!D209-'Ablesewerte Strom'!C209)</f>
        <v>38.6999999999998</v>
      </c>
      <c r="E223" s="54" t="n">
        <f aca="false">SUM('Ablesewerte Strom'!E209-'Ablesewerte Strom'!D209)</f>
        <v>52.3000000000002</v>
      </c>
      <c r="F223" s="54" t="n">
        <f aca="false">SUM('Ablesewerte Strom'!F209-'Ablesewerte Strom'!E209)</f>
        <v>83.3000000000002</v>
      </c>
      <c r="G223" s="54" t="n">
        <f aca="false">SUM('Ablesewerte Strom'!G209-'Ablesewerte Strom'!F209)</f>
        <v>22.6999999999998</v>
      </c>
      <c r="H223" s="54" t="n">
        <f aca="false">SUM('Ablesewerte Strom'!H209-'Ablesewerte Strom'!G209)</f>
        <v>19</v>
      </c>
      <c r="I223" s="54" t="n">
        <f aca="false">SUM('Ablesewerte Strom'!I209-'Ablesewerte Strom'!H209)</f>
        <v>17.8000000000002</v>
      </c>
      <c r="J223" s="54" t="n">
        <f aca="false">SUM('Ablesewerte Strom'!J209-'Ablesewerte Strom'!I209)</f>
        <v>10.1999999999998</v>
      </c>
      <c r="K223" s="54" t="n">
        <f aca="false">SUM('Ablesewerte Strom'!K209-'Ablesewerte Strom'!J209)</f>
        <v>9.19999999999982</v>
      </c>
      <c r="L223" s="54" t="n">
        <f aca="false">SUM('Ablesewerte Strom'!L209-'Ablesewerte Strom'!K209)</f>
        <v>26.8000000000002</v>
      </c>
      <c r="M223" s="54" t="n">
        <f aca="false">SUM('Ablesewerte Strom'!M209-'Ablesewerte Strom'!L209)</f>
        <v>18</v>
      </c>
      <c r="N223" s="54" t="n">
        <f aca="false">SUM('Ablesewerte Strom'!N209-'Ablesewerte Strom'!M209)</f>
        <v>42</v>
      </c>
      <c r="O223" s="54" t="n">
        <f aca="false">SUM('Ablesewerte Strom'!O209-'Ablesewerte Strom'!N209)</f>
        <v>31</v>
      </c>
      <c r="P223" s="23"/>
      <c r="Q223" s="23"/>
      <c r="R223" s="23"/>
    </row>
    <row r="224" customFormat="false" ht="12.75" hidden="false" customHeight="false" outlineLevel="0" collapsed="false">
      <c r="A224" s="82" t="s">
        <v>43</v>
      </c>
      <c r="B224" s="23"/>
      <c r="C224" s="23"/>
      <c r="D224" s="54" t="n">
        <f aca="false">SUM('Ablesewerte Strom'!D210-'Ablesewerte Strom'!C210)</f>
        <v>590</v>
      </c>
      <c r="E224" s="54" t="n">
        <f aca="false">SUM('Ablesewerte Strom'!E210-'Ablesewerte Strom'!D210)</f>
        <v>1251</v>
      </c>
      <c r="F224" s="54" t="n">
        <f aca="false">SUM('Ablesewerte Strom'!F210-'Ablesewerte Strom'!E210)</f>
        <v>3693</v>
      </c>
      <c r="G224" s="54" t="n">
        <f aca="false">SUM('Ablesewerte Strom'!G210-'Ablesewerte Strom'!F210)</f>
        <v>3202</v>
      </c>
      <c r="H224" s="54" t="n">
        <f aca="false">SUM('Ablesewerte Strom'!H210-'Ablesewerte Strom'!G210)</f>
        <v>4007</v>
      </c>
      <c r="I224" s="54" t="n">
        <f aca="false">SUM('Ablesewerte Strom'!I210-'Ablesewerte Strom'!H210)</f>
        <v>4045</v>
      </c>
      <c r="J224" s="54" t="n">
        <f aca="false">SUM('Ablesewerte Strom'!J210-'Ablesewerte Strom'!I210)</f>
        <v>3772</v>
      </c>
      <c r="K224" s="54" t="n">
        <f aca="false">SUM('Ablesewerte Strom'!K210-'Ablesewerte Strom'!J210)</f>
        <v>4533</v>
      </c>
      <c r="L224" s="54" t="n">
        <f aca="false">SUM('Ablesewerte Strom'!L210-'Ablesewerte Strom'!K210)</f>
        <v>2817</v>
      </c>
      <c r="M224" s="54" t="n">
        <f aca="false">SUM('Ablesewerte Strom'!M210-'Ablesewerte Strom'!L210)</f>
        <v>1763</v>
      </c>
      <c r="N224" s="54" t="n">
        <f aca="false">SUM('Ablesewerte Strom'!N210-'Ablesewerte Strom'!M210)</f>
        <v>1030</v>
      </c>
      <c r="O224" s="54" t="n">
        <f aca="false">SUM('Ablesewerte Strom'!O210-'Ablesewerte Strom'!N210)</f>
        <v>196</v>
      </c>
      <c r="P224" s="23"/>
      <c r="Q224" s="24" t="n">
        <f aca="false">SUM(D224:P224)</f>
        <v>30899</v>
      </c>
      <c r="R224" s="23"/>
    </row>
    <row r="227" customFormat="false" ht="15" hidden="false" customHeight="false" outlineLevel="0" collapsed="false">
      <c r="A227" s="2" t="n">
        <v>2023</v>
      </c>
    </row>
    <row r="228" customFormat="false" ht="15" hidden="false" customHeight="false" outlineLevel="0" collapsed="false">
      <c r="A228" s="2" t="s">
        <v>23</v>
      </c>
      <c r="D228" s="79" t="s">
        <v>2</v>
      </c>
      <c r="E228" s="79" t="s">
        <v>3</v>
      </c>
      <c r="F228" s="79" t="s">
        <v>4</v>
      </c>
      <c r="G228" s="79" t="s">
        <v>5</v>
      </c>
      <c r="H228" s="79" t="s">
        <v>6</v>
      </c>
      <c r="I228" s="79" t="s">
        <v>7</v>
      </c>
      <c r="J228" s="79" t="s">
        <v>8</v>
      </c>
      <c r="K228" s="79" t="s">
        <v>9</v>
      </c>
      <c r="L228" s="79" t="s">
        <v>10</v>
      </c>
      <c r="M228" s="79" t="s">
        <v>11</v>
      </c>
      <c r="N228" s="79" t="s">
        <v>12</v>
      </c>
      <c r="O228" s="79" t="s">
        <v>13</v>
      </c>
    </row>
    <row r="230" customFormat="false" ht="12.75" hidden="false" customHeight="false" outlineLevel="0" collapsed="false">
      <c r="A230" s="1" t="s">
        <v>27</v>
      </c>
      <c r="D230" s="54" t="n">
        <f aca="false">SUM('Ablesewerte Strom'!D217-'Ablesewerte Strom'!C217)</f>
        <v>3517</v>
      </c>
      <c r="E230" s="54" t="n">
        <f aca="false">SUM('Ablesewerte Strom'!E217-'Ablesewerte Strom'!D217)</f>
        <v>2624</v>
      </c>
      <c r="F230" s="54" t="n">
        <f aca="false">SUM('Ablesewerte Strom'!F217-'Ablesewerte Strom'!E217)</f>
        <v>2560</v>
      </c>
      <c r="G230" s="54" t="n">
        <f aca="false">SUM('Ablesewerte Strom'!G217-'Ablesewerte Strom'!F217)</f>
        <v>1996</v>
      </c>
      <c r="H230" s="54" t="n">
        <f aca="false">SUM('Ablesewerte Strom'!H217-'Ablesewerte Strom'!G217)</f>
        <v>1258</v>
      </c>
      <c r="I230" s="54" t="n">
        <f aca="false">SUM('Ablesewerte Strom'!I217-'Ablesewerte Strom'!H217)</f>
        <v>1653</v>
      </c>
      <c r="J230" s="54" t="n">
        <f aca="false">SUM('Ablesewerte Strom'!J217-'Ablesewerte Strom'!I217)</f>
        <v>1339</v>
      </c>
      <c r="K230" s="54" t="n">
        <f aca="false">SUM('Ablesewerte Strom'!K217-'Ablesewerte Strom'!J217)</f>
        <v>1660</v>
      </c>
      <c r="L230" s="54" t="n">
        <f aca="false">SUM('Ablesewerte Strom'!L217-'Ablesewerte Strom'!K217)</f>
        <v>2060</v>
      </c>
      <c r="M230" s="54" t="n">
        <f aca="false">SUM('Ablesewerte Strom'!M217-'Ablesewerte Strom'!L217)</f>
        <v>2350</v>
      </c>
      <c r="N230" s="54" t="n">
        <f aca="false">SUM('Ablesewerte Strom'!N217-'Ablesewerte Strom'!M217)</f>
        <v>2745</v>
      </c>
      <c r="O230" s="54" t="n">
        <f aca="false">SUM('Ablesewerte Strom'!O217-'Ablesewerte Strom'!N217)</f>
        <v>2756</v>
      </c>
      <c r="Q230" s="54" t="n">
        <f aca="false">SUM(D230:O230)</f>
        <v>26518</v>
      </c>
    </row>
    <row r="231" customFormat="false" ht="12.75" hidden="false" customHeight="false" outlineLevel="0" collapsed="false">
      <c r="A231" s="1" t="s">
        <v>28</v>
      </c>
      <c r="D231" s="54" t="n">
        <f aca="false">SUM('Ablesewerte Strom'!D218-'Ablesewerte Strom'!C218)</f>
        <v>2599</v>
      </c>
      <c r="E231" s="54" t="n">
        <f aca="false">SUM('Ablesewerte Strom'!E218-'Ablesewerte Strom'!D218)</f>
        <v>1930</v>
      </c>
      <c r="F231" s="54" t="n">
        <f aca="false">SUM('Ablesewerte Strom'!F218-'Ablesewerte Strom'!E218)</f>
        <v>1834</v>
      </c>
      <c r="G231" s="54" t="n">
        <f aca="false">SUM('Ablesewerte Strom'!G218-'Ablesewerte Strom'!F218)</f>
        <v>1521</v>
      </c>
      <c r="H231" s="54" t="n">
        <f aca="false">SUM('Ablesewerte Strom'!H218-'Ablesewerte Strom'!G218)</f>
        <v>1323</v>
      </c>
      <c r="I231" s="54" t="n">
        <f aca="false">SUM('Ablesewerte Strom'!I218-'Ablesewerte Strom'!H218)</f>
        <v>1132</v>
      </c>
      <c r="J231" s="54" t="n">
        <f aca="false">SUM('Ablesewerte Strom'!J218-'Ablesewerte Strom'!I218)</f>
        <v>901</v>
      </c>
      <c r="K231" s="54" t="n">
        <f aca="false">SUM('Ablesewerte Strom'!K218-'Ablesewerte Strom'!J218)</f>
        <v>1065</v>
      </c>
      <c r="L231" s="54" t="n">
        <f aca="false">SUM('Ablesewerte Strom'!L218-'Ablesewerte Strom'!K218)</f>
        <v>1304</v>
      </c>
      <c r="M231" s="54" t="n">
        <f aca="false">SUM('Ablesewerte Strom'!M218-'Ablesewerte Strom'!L218)</f>
        <v>1560</v>
      </c>
      <c r="N231" s="54" t="n">
        <f aca="false">SUM('Ablesewerte Strom'!N218-'Ablesewerte Strom'!M218)</f>
        <v>1955</v>
      </c>
      <c r="O231" s="54" t="n">
        <f aca="false">SUM('Ablesewerte Strom'!O218-'Ablesewerte Strom'!N218)</f>
        <v>2003</v>
      </c>
      <c r="Q231" s="54" t="n">
        <f aca="false">SUM(D231:O231)</f>
        <v>19127</v>
      </c>
    </row>
    <row r="232" customFormat="false" ht="12.75" hidden="false" customHeight="false" outlineLevel="0" collapsed="false">
      <c r="A232" s="1" t="s">
        <v>29</v>
      </c>
      <c r="D232" s="54" t="n">
        <f aca="false">SUM('Ablesewerte Strom'!D219-'Ablesewerte Strom'!C219)</f>
        <v>0</v>
      </c>
      <c r="E232" s="54" t="n">
        <f aca="false">SUM('Ablesewerte Strom'!E219-'Ablesewerte Strom'!D219)</f>
        <v>0</v>
      </c>
      <c r="F232" s="54" t="n">
        <f aca="false">SUM('Ablesewerte Strom'!F219-'Ablesewerte Strom'!E219)</f>
        <v>0</v>
      </c>
      <c r="G232" s="54" t="n">
        <f aca="false">SUM('Ablesewerte Strom'!G219-'Ablesewerte Strom'!F219)</f>
        <v>0</v>
      </c>
      <c r="H232" s="54" t="n">
        <f aca="false">SUM('Ablesewerte Strom'!H219-'Ablesewerte Strom'!G219)</f>
        <v>0</v>
      </c>
      <c r="I232" s="54" t="n">
        <f aca="false">SUM('Ablesewerte Strom'!I219-'Ablesewerte Strom'!H219)</f>
        <v>0</v>
      </c>
      <c r="J232" s="54" t="n">
        <f aca="false">SUM('Ablesewerte Strom'!J219-'Ablesewerte Strom'!I219)</f>
        <v>0</v>
      </c>
      <c r="K232" s="54" t="n">
        <f aca="false">SUM('Ablesewerte Strom'!K219-'Ablesewerte Strom'!J219)</f>
        <v>0</v>
      </c>
      <c r="L232" s="54" t="n">
        <f aca="false">SUM('Ablesewerte Strom'!L219-'Ablesewerte Strom'!K219)</f>
        <v>0</v>
      </c>
      <c r="M232" s="54" t="n">
        <f aca="false">SUM('Ablesewerte Strom'!M219-'Ablesewerte Strom'!L219)</f>
        <v>0</v>
      </c>
      <c r="N232" s="54" t="n">
        <f aca="false">SUM('Ablesewerte Strom'!N219-'Ablesewerte Strom'!M219)</f>
        <v>0</v>
      </c>
      <c r="O232" s="54" t="n">
        <f aca="false">SUM('Ablesewerte Strom'!O219-'Ablesewerte Strom'!N219)</f>
        <v>0</v>
      </c>
      <c r="Q232" s="54" t="n">
        <f aca="false">SUM(D232:P232)</f>
        <v>0</v>
      </c>
    </row>
    <row r="233" customFormat="false" ht="12.75" hidden="false" customHeight="false" outlineLevel="0" collapsed="false">
      <c r="A233" s="1" t="s">
        <v>30</v>
      </c>
      <c r="D233" s="54" t="n">
        <f aca="false">SUM('Ablesewerte Strom'!D220-'Ablesewerte Strom'!C220)</f>
        <v>58</v>
      </c>
      <c r="E233" s="54" t="n">
        <f aca="false">SUM('Ablesewerte Strom'!E220-'Ablesewerte Strom'!D220)</f>
        <v>39</v>
      </c>
      <c r="F233" s="54" t="n">
        <f aca="false">SUM('Ablesewerte Strom'!F220-'Ablesewerte Strom'!E220)</f>
        <v>35</v>
      </c>
      <c r="G233" s="54" t="n">
        <f aca="false">SUM('Ablesewerte Strom'!G220-'Ablesewerte Strom'!F220)</f>
        <v>34</v>
      </c>
      <c r="H233" s="54" t="n">
        <f aca="false">SUM('Ablesewerte Strom'!H220-'Ablesewerte Strom'!G220)</f>
        <v>34</v>
      </c>
      <c r="I233" s="54" t="n">
        <f aca="false">SUM('Ablesewerte Strom'!I220-'Ablesewerte Strom'!H220)</f>
        <v>27</v>
      </c>
      <c r="J233" s="54" t="n">
        <f aca="false">SUM('Ablesewerte Strom'!J220-'Ablesewerte Strom'!I220)</f>
        <v>19</v>
      </c>
      <c r="K233" s="54" t="n">
        <f aca="false">SUM('Ablesewerte Strom'!K220-'Ablesewerte Strom'!J220)</f>
        <v>32</v>
      </c>
      <c r="L233" s="54" t="n">
        <f aca="false">SUM('Ablesewerte Strom'!L220-'Ablesewerte Strom'!K220)</f>
        <v>41</v>
      </c>
      <c r="M233" s="54" t="n">
        <f aca="false">SUM('Ablesewerte Strom'!M220-'Ablesewerte Strom'!L220)</f>
        <v>37</v>
      </c>
      <c r="N233" s="54" t="n">
        <f aca="false">SUM('Ablesewerte Strom'!N220-'Ablesewerte Strom'!M220)</f>
        <v>37</v>
      </c>
      <c r="O233" s="54" t="n">
        <f aca="false">SUM('Ablesewerte Strom'!O220-'Ablesewerte Strom'!N220)</f>
        <v>42</v>
      </c>
      <c r="Q233" s="54" t="n">
        <f aca="false">SUM(D233:P233)</f>
        <v>435</v>
      </c>
    </row>
    <row r="234" customFormat="false" ht="12.75" hidden="false" customHeight="false" outlineLevel="0" collapsed="false">
      <c r="A234" s="1" t="s">
        <v>31</v>
      </c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</row>
    <row r="235" customFormat="false" ht="12.75" hidden="false" customHeight="false" outlineLevel="0" collapsed="false"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Q235" s="54" t="n">
        <f aca="false">SUM(D234:O235)</f>
        <v>0</v>
      </c>
    </row>
    <row r="236" customFormat="false" ht="12.75" hidden="false" customHeight="false" outlineLevel="0" collapsed="false">
      <c r="A236" s="1" t="s">
        <v>48</v>
      </c>
      <c r="D236" s="54" t="n">
        <f aca="false">SUM('Ablesewerte Strom'!D222-'Ablesewerte Strom'!C222)</f>
        <v>3813</v>
      </c>
      <c r="E236" s="54" t="n">
        <f aca="false">SUM('Ablesewerte Strom'!E222-'Ablesewerte Strom'!D222)</f>
        <v>3315</v>
      </c>
      <c r="F236" s="54" t="n">
        <f aca="false">SUM('Ablesewerte Strom'!F222-'Ablesewerte Strom'!E222)</f>
        <v>3894</v>
      </c>
      <c r="G236" s="54" t="n">
        <f aca="false">SUM('Ablesewerte Strom'!G222-'Ablesewerte Strom'!F222)</f>
        <v>2394</v>
      </c>
      <c r="H236" s="54" t="n">
        <f aca="false">SUM('Ablesewerte Strom'!H222-'Ablesewerte Strom'!G222)</f>
        <v>3629</v>
      </c>
      <c r="I236" s="54" t="n">
        <f aca="false">SUM('Ablesewerte Strom'!I222-'Ablesewerte Strom'!H222)</f>
        <v>3333.6</v>
      </c>
      <c r="J236" s="54" t="n">
        <f aca="false">SUM('Ablesewerte Strom'!J222-'Ablesewerte Strom'!I222)</f>
        <v>2943.4</v>
      </c>
      <c r="K236" s="54" t="n">
        <f aca="false">SUM('Ablesewerte Strom'!K222-'Ablesewerte Strom'!J222)</f>
        <v>1499</v>
      </c>
      <c r="L236" s="54" t="n">
        <f aca="false">SUM('Ablesewerte Strom'!L222-'Ablesewerte Strom'!K222)</f>
        <v>3190</v>
      </c>
      <c r="M236" s="54" t="n">
        <f aca="false">SUM('Ablesewerte Strom'!M222-'Ablesewerte Strom'!L222)</f>
        <v>3232</v>
      </c>
      <c r="N236" s="54" t="n">
        <f aca="false">SUM('Ablesewerte Strom'!N222-'Ablesewerte Strom'!M222)</f>
        <v>3257</v>
      </c>
      <c r="O236" s="54" t="n">
        <f aca="false">SUM('Ablesewerte Strom'!O222-'Ablesewerte Strom'!N222)</f>
        <v>2917.3</v>
      </c>
      <c r="P236" s="54" t="n">
        <f aca="false">SUM(D236:O236)</f>
        <v>37417.3</v>
      </c>
    </row>
    <row r="237" customFormat="false" ht="12.75" hidden="false" customHeight="false" outlineLevel="0" collapsed="false">
      <c r="A237" s="1" t="s">
        <v>49</v>
      </c>
      <c r="D237" s="54" t="n">
        <f aca="false">SUM('Ablesewerte Strom'!D223-'Ablesewerte Strom'!C223)</f>
        <v>2388</v>
      </c>
      <c r="E237" s="54" t="n">
        <f aca="false">SUM('Ablesewerte Strom'!E223-'Ablesewerte Strom'!D223)</f>
        <v>1981</v>
      </c>
      <c r="F237" s="54" t="n">
        <f aca="false">SUM('Ablesewerte Strom'!F223-'Ablesewerte Strom'!E223)</f>
        <v>2133</v>
      </c>
      <c r="G237" s="54" t="n">
        <f aca="false">SUM('Ablesewerte Strom'!G223-'Ablesewerte Strom'!F223)</f>
        <v>1359</v>
      </c>
      <c r="H237" s="54" t="n">
        <f aca="false">SUM('Ablesewerte Strom'!H223-'Ablesewerte Strom'!G223)</f>
        <v>1354</v>
      </c>
      <c r="I237" s="54" t="n">
        <f aca="false">SUM('Ablesewerte Strom'!I223-'Ablesewerte Strom'!H223)</f>
        <v>1394.3</v>
      </c>
      <c r="J237" s="54" t="n">
        <f aca="false">SUM('Ablesewerte Strom'!J223-'Ablesewerte Strom'!I223)</f>
        <v>1303.7</v>
      </c>
      <c r="K237" s="54" t="n">
        <f aca="false">SUM('Ablesewerte Strom'!K223-'Ablesewerte Strom'!J223)</f>
        <v>1043</v>
      </c>
      <c r="L237" s="54" t="n">
        <f aca="false">SUM('Ablesewerte Strom'!L223-'Ablesewerte Strom'!K223)</f>
        <v>1794</v>
      </c>
      <c r="M237" s="54" t="n">
        <f aca="false">SUM('Ablesewerte Strom'!M223-'Ablesewerte Strom'!L223)</f>
        <v>1844</v>
      </c>
      <c r="N237" s="54" t="n">
        <f aca="false">SUM('Ablesewerte Strom'!N223-'Ablesewerte Strom'!M223)</f>
        <v>2025</v>
      </c>
      <c r="O237" s="54" t="n">
        <f aca="false">SUM('Ablesewerte Strom'!O223-'Ablesewerte Strom'!N223)</f>
        <v>2671.5</v>
      </c>
      <c r="P237" s="54" t="n">
        <f aca="false">SUM(D237:O237)</f>
        <v>21290.5</v>
      </c>
    </row>
    <row r="238" customFormat="false" ht="12.75" hidden="false" customHeight="false" outlineLevel="0" collapsed="false">
      <c r="A238" s="1" t="s">
        <v>50</v>
      </c>
      <c r="D238" s="54" t="n">
        <f aca="false">SUM('Ablesewerte Strom'!D224-'Ablesewerte Strom'!C224)</f>
        <v>1226</v>
      </c>
      <c r="E238" s="54" t="n">
        <f aca="false">SUM('Ablesewerte Strom'!E224-'Ablesewerte Strom'!D224)</f>
        <v>955</v>
      </c>
      <c r="F238" s="54" t="n">
        <f aca="false">SUM('Ablesewerte Strom'!F224-'Ablesewerte Strom'!E224)</f>
        <v>990</v>
      </c>
      <c r="G238" s="54" t="n">
        <f aca="false">SUM('Ablesewerte Strom'!G224-'Ablesewerte Strom'!F224)</f>
        <v>724</v>
      </c>
      <c r="H238" s="54" t="n">
        <f aca="false">SUM('Ablesewerte Strom'!H224-'Ablesewerte Strom'!G224)</f>
        <v>878</v>
      </c>
      <c r="I238" s="54" t="n">
        <f aca="false">SUM('Ablesewerte Strom'!I224-'Ablesewerte Strom'!H224)</f>
        <v>657.300000000003</v>
      </c>
      <c r="J238" s="54" t="n">
        <f aca="false">SUM('Ablesewerte Strom'!J224-'Ablesewerte Strom'!I224)</f>
        <v>506.699999999997</v>
      </c>
      <c r="K238" s="54" t="n">
        <f aca="false">SUM('Ablesewerte Strom'!K224-'Ablesewerte Strom'!J224)</f>
        <v>557</v>
      </c>
      <c r="L238" s="54" t="n">
        <f aca="false">SUM('Ablesewerte Strom'!L224-'Ablesewerte Strom'!K224)</f>
        <v>803</v>
      </c>
      <c r="M238" s="54" t="n">
        <f aca="false">SUM('Ablesewerte Strom'!M224-'Ablesewerte Strom'!L224)</f>
        <v>1029</v>
      </c>
      <c r="N238" s="54" t="n">
        <f aca="false">SUM('Ablesewerte Strom'!N224-'Ablesewerte Strom'!M224)</f>
        <v>1167</v>
      </c>
      <c r="O238" s="54" t="n">
        <f aca="false">SUM('Ablesewerte Strom'!O224-'Ablesewerte Strom'!N224)</f>
        <v>1156.60000000001</v>
      </c>
      <c r="P238" s="54" t="n">
        <f aca="false">SUM(D238:O238)</f>
        <v>10649.6</v>
      </c>
    </row>
    <row r="239" customFormat="false" ht="12.75" hidden="false" customHeight="false" outlineLevel="0" collapsed="false">
      <c r="A239" s="1" t="s">
        <v>39</v>
      </c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54" t="n">
        <f aca="false">SUM(P236:P238)</f>
        <v>69357.4</v>
      </c>
    </row>
    <row r="240" customFormat="false" ht="12.75" hidden="false" customHeight="false" outlineLevel="0" collapsed="false"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Q240" s="54" t="n">
        <f aca="false">SUM(D239:O240)</f>
        <v>0</v>
      </c>
    </row>
    <row r="241" customFormat="false" ht="12.75" hidden="false" customHeight="false" outlineLevel="0" collapsed="false">
      <c r="A241" s="1" t="s">
        <v>53</v>
      </c>
      <c r="D241" s="54" t="n">
        <f aca="false">SUM('Ablesewerte Strom'!D226-'Ablesewerte Strom'!C226)</f>
        <v>4188</v>
      </c>
      <c r="E241" s="54" t="n">
        <f aca="false">SUM('Ablesewerte Strom'!E226-'Ablesewerte Strom'!D226)</f>
        <v>3413</v>
      </c>
      <c r="F241" s="54" t="n">
        <f aca="false">SUM('Ablesewerte Strom'!F226-'Ablesewerte Strom'!E226)</f>
        <v>3502</v>
      </c>
      <c r="G241" s="54" t="n">
        <f aca="false">SUM('Ablesewerte Strom'!G226-'Ablesewerte Strom'!F226)</f>
        <v>2107</v>
      </c>
      <c r="H241" s="54" t="n">
        <f aca="false">SUM('Ablesewerte Strom'!H226-'Ablesewerte Strom'!G226)</f>
        <v>2002</v>
      </c>
      <c r="I241" s="54" t="n">
        <f aca="false">SUM('Ablesewerte Strom'!I226-'Ablesewerte Strom'!H226)</f>
        <v>1501.5</v>
      </c>
      <c r="J241" s="54" t="n">
        <f aca="false">SUM('Ablesewerte Strom'!J226-'Ablesewerte Strom'!I226)</f>
        <v>1315.5</v>
      </c>
      <c r="K241" s="54" t="n">
        <f aca="false">SUM('Ablesewerte Strom'!K226-'Ablesewerte Strom'!J226)</f>
        <v>785</v>
      </c>
      <c r="L241" s="54" t="n">
        <f aca="false">SUM('Ablesewerte Strom'!L226-'Ablesewerte Strom'!K226)</f>
        <v>2113</v>
      </c>
      <c r="M241" s="54" t="n">
        <f aca="false">SUM('Ablesewerte Strom'!M226-'Ablesewerte Strom'!L226)</f>
        <v>3783</v>
      </c>
      <c r="N241" s="54" t="n">
        <f aca="false">SUM('Ablesewerte Strom'!N226-'Ablesewerte Strom'!M226)</f>
        <v>4111</v>
      </c>
      <c r="O241" s="54" t="n">
        <f aca="false">SUM('Ablesewerte Strom'!O226-'Ablesewerte Strom'!N226)</f>
        <v>3618.40000000002</v>
      </c>
      <c r="P241" s="54" t="n">
        <f aca="false">SUM(D241:O241)</f>
        <v>32439.4</v>
      </c>
      <c r="Q241" s="1" t="s">
        <v>54</v>
      </c>
      <c r="R241" s="81" t="n">
        <f aca="false">SUM(Q230:Q240)</f>
        <v>46080</v>
      </c>
    </row>
    <row r="242" customFormat="false" ht="12.75" hidden="false" customHeight="false" outlineLevel="0" collapsed="false">
      <c r="A242" s="82" t="s">
        <v>41</v>
      </c>
      <c r="B242" s="23"/>
      <c r="C242" s="24"/>
      <c r="D242" s="54" t="n">
        <f aca="false">SUM('Ablesewerte Strom'!D227-'Ablesewerte Strom'!C227)</f>
        <v>20653</v>
      </c>
      <c r="E242" s="54" t="n">
        <f aca="false">SUM('Ablesewerte Strom'!E227-'Ablesewerte Strom'!D227)</f>
        <v>15505</v>
      </c>
      <c r="F242" s="54" t="n">
        <f aca="false">SUM('Ablesewerte Strom'!F227-'Ablesewerte Strom'!E227)</f>
        <v>14786</v>
      </c>
      <c r="G242" s="54" t="n">
        <f aca="false">SUM('Ablesewerte Strom'!G227-'Ablesewerte Strom'!F227)</f>
        <v>0</v>
      </c>
      <c r="H242" s="54" t="n">
        <f aca="false">SUM('Ablesewerte Strom'!H227-'Ablesewerte Strom'!G227)</f>
        <v>110824</v>
      </c>
      <c r="I242" s="54" t="n">
        <f aca="false">SUM('Ablesewerte Strom'!I227-'Ablesewerte Strom'!H227)</f>
        <v>5564.47999999998</v>
      </c>
      <c r="J242" s="54" t="n">
        <f aca="false">SUM('Ablesewerte Strom'!J227-'Ablesewerte Strom'!I227)</f>
        <v>5357.52000000002</v>
      </c>
      <c r="K242" s="54" t="n">
        <f aca="false">SUM('Ablesewerte Strom'!K227-'Ablesewerte Strom'!J227)</f>
        <v>6239</v>
      </c>
      <c r="L242" s="54" t="n">
        <f aca="false">SUM('Ablesewerte Strom'!L227-'Ablesewerte Strom'!K227)</f>
        <v>7562</v>
      </c>
      <c r="M242" s="54" t="n">
        <f aca="false">SUM('Ablesewerte Strom'!M227-'Ablesewerte Strom'!L227)</f>
        <v>17099</v>
      </c>
      <c r="N242" s="54" t="n">
        <f aca="false">SUM('Ablesewerte Strom'!N227-'Ablesewerte Strom'!M227)</f>
        <v>18351</v>
      </c>
      <c r="O242" s="54" t="n">
        <f aca="false">SUM('Ablesewerte Strom'!O227-'Ablesewerte Strom'!N227)</f>
        <v>25675.8</v>
      </c>
      <c r="P242" s="23"/>
      <c r="Q242" s="23"/>
      <c r="R242" s="23"/>
    </row>
    <row r="243" customFormat="false" ht="13.8" hidden="false" customHeight="false" outlineLevel="0" collapsed="false">
      <c r="A243" s="83" t="s">
        <v>42</v>
      </c>
      <c r="B243" s="23"/>
      <c r="C243" s="24"/>
      <c r="D243" s="54" t="n">
        <f aca="false">SUM('Ablesewerte Strom'!D228-'Ablesewerte Strom'!C228)</f>
        <v>50</v>
      </c>
      <c r="E243" s="54" t="n">
        <f aca="false">SUM('Ablesewerte Strom'!E228-'Ablesewerte Strom'!D228)</f>
        <v>29</v>
      </c>
      <c r="F243" s="54" t="n">
        <f aca="false">SUM('Ablesewerte Strom'!F228-'Ablesewerte Strom'!E228)</f>
        <v>32</v>
      </c>
      <c r="G243" s="54" t="n">
        <f aca="false">SUM('Ablesewerte Strom'!G228-'Ablesewerte Strom'!F228)</f>
        <v>10</v>
      </c>
      <c r="H243" s="54" t="n">
        <f aca="false">SUM('Ablesewerte Strom'!H228-'Ablesewerte Strom'!G228)</f>
        <v>13.1999999999998</v>
      </c>
      <c r="I243" s="54" t="n">
        <f aca="false">SUM('Ablesewerte Strom'!I228-'Ablesewerte Strom'!H228)</f>
        <v>22.1000000000004</v>
      </c>
      <c r="J243" s="54" t="n">
        <f aca="false">SUM('Ablesewerte Strom'!J228-'Ablesewerte Strom'!I228)</f>
        <v>18.6999999999998</v>
      </c>
      <c r="K243" s="54" t="n">
        <f aca="false">SUM('Ablesewerte Strom'!K228-'Ablesewerte Strom'!J228)</f>
        <v>31</v>
      </c>
      <c r="L243" s="54" t="n">
        <f aca="false">SUM('Ablesewerte Strom'!L228-'Ablesewerte Strom'!K228)</f>
        <v>26</v>
      </c>
      <c r="M243" s="54" t="n">
        <f aca="false">SUM('Ablesewerte Strom'!M228-'Ablesewerte Strom'!L228)</f>
        <v>42</v>
      </c>
      <c r="N243" s="54" t="n">
        <f aca="false">SUM('Ablesewerte Strom'!N228-'Ablesewerte Strom'!M228)</f>
        <v>48</v>
      </c>
      <c r="O243" s="54" t="n">
        <f aca="false">SUM('Ablesewerte Strom'!O228-'Ablesewerte Strom'!N228)</f>
        <v>79</v>
      </c>
      <c r="P243" s="23"/>
      <c r="Q243" s="23"/>
      <c r="R243" s="23"/>
    </row>
    <row r="244" customFormat="false" ht="12.75" hidden="false" customHeight="false" outlineLevel="0" collapsed="false">
      <c r="A244" s="82" t="s">
        <v>43</v>
      </c>
      <c r="B244" s="23"/>
      <c r="C244" s="23"/>
      <c r="D244" s="54" t="n">
        <f aca="false">SUM('Ablesewerte Strom'!D229-'Ablesewerte Strom'!C229)</f>
        <v>757</v>
      </c>
      <c r="E244" s="54" t="n">
        <f aca="false">SUM('Ablesewerte Strom'!E229-'Ablesewerte Strom'!D229)</f>
        <v>1834</v>
      </c>
      <c r="F244" s="54" t="n">
        <f aca="false">SUM('Ablesewerte Strom'!F229-'Ablesewerte Strom'!E229)</f>
        <v>1972</v>
      </c>
      <c r="G244" s="54" t="n">
        <f aca="false">SUM('Ablesewerte Strom'!G229-'Ablesewerte Strom'!F229)</f>
        <v>2550</v>
      </c>
      <c r="H244" s="54" t="n">
        <f aca="false">SUM('Ablesewerte Strom'!H229-'Ablesewerte Strom'!G229)</f>
        <v>3394</v>
      </c>
      <c r="I244" s="54" t="n">
        <f aca="false">SUM('Ablesewerte Strom'!I229-'Ablesewerte Strom'!H229)</f>
        <v>4443</v>
      </c>
      <c r="J244" s="54" t="n">
        <f aca="false">SUM('Ablesewerte Strom'!J229-'Ablesewerte Strom'!I229)</f>
        <v>3030</v>
      </c>
      <c r="K244" s="54" t="n">
        <f aca="false">SUM('Ablesewerte Strom'!K229-'Ablesewerte Strom'!J229)</f>
        <v>3280</v>
      </c>
      <c r="L244" s="54" t="n">
        <f aca="false">SUM('Ablesewerte Strom'!L229-'Ablesewerte Strom'!K229)</f>
        <v>3596</v>
      </c>
      <c r="M244" s="54" t="n">
        <f aca="false">SUM('Ablesewerte Strom'!M229-'Ablesewerte Strom'!L229)</f>
        <v>1429</v>
      </c>
      <c r="N244" s="54" t="n">
        <f aca="false">SUM('Ablesewerte Strom'!N229-'Ablesewerte Strom'!M229)</f>
        <v>452</v>
      </c>
      <c r="O244" s="54" t="n">
        <f aca="false">SUM('Ablesewerte Strom'!O229-'Ablesewerte Strom'!N229)</f>
        <v>642</v>
      </c>
      <c r="P244" s="23"/>
      <c r="Q244" s="24" t="n">
        <f aca="false">SUM(D244:P244)</f>
        <v>27379</v>
      </c>
      <c r="R244" s="23"/>
    </row>
    <row r="249" customFormat="false" ht="15" hidden="false" customHeight="false" outlineLevel="0" collapsed="false">
      <c r="A249" s="2" t="n">
        <v>2024</v>
      </c>
    </row>
    <row r="250" customFormat="false" ht="15" hidden="false" customHeight="false" outlineLevel="0" collapsed="false">
      <c r="A250" s="2" t="s">
        <v>23</v>
      </c>
      <c r="D250" s="79" t="s">
        <v>2</v>
      </c>
      <c r="E250" s="79" t="s">
        <v>3</v>
      </c>
      <c r="F250" s="79" t="s">
        <v>4</v>
      </c>
      <c r="G250" s="79" t="s">
        <v>5</v>
      </c>
      <c r="H250" s="79" t="s">
        <v>6</v>
      </c>
      <c r="I250" s="79" t="s">
        <v>7</v>
      </c>
      <c r="J250" s="79" t="s">
        <v>8</v>
      </c>
      <c r="K250" s="79" t="s">
        <v>9</v>
      </c>
      <c r="L250" s="79" t="s">
        <v>10</v>
      </c>
      <c r="M250" s="79" t="s">
        <v>11</v>
      </c>
      <c r="N250" s="79" t="s">
        <v>12</v>
      </c>
      <c r="O250" s="79" t="s">
        <v>13</v>
      </c>
    </row>
    <row r="252" customFormat="false" ht="12.75" hidden="false" customHeight="false" outlineLevel="0" collapsed="false">
      <c r="A252" s="1" t="s">
        <v>27</v>
      </c>
      <c r="D252" s="54" t="n">
        <f aca="false">SUM('Ablesewerte Strom'!D238-'Ablesewerte Strom'!C238)</f>
        <v>2452</v>
      </c>
      <c r="E252" s="54" t="n">
        <f aca="false">SUM('Ablesewerte Strom'!E238-'Ablesewerte Strom'!D238)</f>
        <v>2313</v>
      </c>
      <c r="F252" s="54" t="n">
        <f aca="false">SUM('Ablesewerte Strom'!F238-'Ablesewerte Strom'!E238)</f>
        <v>2295</v>
      </c>
      <c r="G252" s="54" t="n">
        <f aca="false">SUM('Ablesewerte Strom'!G238-'Ablesewerte Strom'!F238)</f>
        <v>2335</v>
      </c>
      <c r="H252" s="54" t="n">
        <f aca="false">SUM('Ablesewerte Strom'!H238-'Ablesewerte Strom'!G238)</f>
        <v>1745</v>
      </c>
      <c r="I252" s="54" t="n">
        <f aca="false">SUM('Ablesewerte Strom'!I238-'Ablesewerte Strom'!H238)</f>
        <v>2100</v>
      </c>
      <c r="J252" s="54" t="n">
        <f aca="false">SUM('Ablesewerte Strom'!J238-'Ablesewerte Strom'!I238)</f>
        <v>1741</v>
      </c>
      <c r="K252" s="54" t="n">
        <f aca="false">SUM('Ablesewerte Strom'!K238-'Ablesewerte Strom'!J238)</f>
        <v>1447</v>
      </c>
      <c r="L252" s="54" t="n">
        <f aca="false">SUM('Ablesewerte Strom'!L238-'Ablesewerte Strom'!K238)</f>
        <v>2055</v>
      </c>
      <c r="M252" s="54" t="n">
        <f aca="false">SUM('Ablesewerte Strom'!M238-'Ablesewerte Strom'!L238)</f>
        <v>2529</v>
      </c>
      <c r="N252" s="54" t="n">
        <f aca="false">SUM('Ablesewerte Strom'!N238-'Ablesewerte Strom'!M238)</f>
        <v>2748</v>
      </c>
      <c r="O252" s="54" t="n">
        <f aca="false">SUM('Ablesewerte Strom'!O238-'Ablesewerte Strom'!N238)</f>
        <v>1885</v>
      </c>
      <c r="Q252" s="54" t="n">
        <f aca="false">SUM(D252:O252)</f>
        <v>25645</v>
      </c>
    </row>
    <row r="253" customFormat="false" ht="12.75" hidden="false" customHeight="false" outlineLevel="0" collapsed="false">
      <c r="A253" s="1" t="s">
        <v>28</v>
      </c>
      <c r="D253" s="54" t="n">
        <f aca="false">SUM('Ablesewerte Strom'!D239-'Ablesewerte Strom'!C239)</f>
        <v>1743</v>
      </c>
      <c r="E253" s="54" t="n">
        <f aca="false">SUM('Ablesewerte Strom'!E239-'Ablesewerte Strom'!D239)</f>
        <v>1591.29999999999</v>
      </c>
      <c r="F253" s="54" t="n">
        <f aca="false">SUM('Ablesewerte Strom'!F239-'Ablesewerte Strom'!E239)</f>
        <v>1636.70000000001</v>
      </c>
      <c r="G253" s="54" t="n">
        <f aca="false">SUM('Ablesewerte Strom'!G239-'Ablesewerte Strom'!F239)</f>
        <v>1706.40000000002</v>
      </c>
      <c r="H253" s="54" t="n">
        <f aca="false">SUM('Ablesewerte Strom'!H239-'Ablesewerte Strom'!G239)</f>
        <v>1252.59999999998</v>
      </c>
      <c r="I253" s="54" t="n">
        <f aca="false">SUM('Ablesewerte Strom'!I239-'Ablesewerte Strom'!H239)</f>
        <v>1454.09999999998</v>
      </c>
      <c r="J253" s="54" t="n">
        <f aca="false">SUM('Ablesewerte Strom'!J239-'Ablesewerte Strom'!I239)</f>
        <v>1213.40000000002</v>
      </c>
      <c r="K253" s="54" t="n">
        <f aca="false">SUM('Ablesewerte Strom'!K239-'Ablesewerte Strom'!J239)</f>
        <v>1053.79999999999</v>
      </c>
      <c r="L253" s="54" t="n">
        <f aca="false">SUM('Ablesewerte Strom'!L239-'Ablesewerte Strom'!K239)</f>
        <v>1319.60000000004</v>
      </c>
      <c r="M253" s="54" t="n">
        <f aca="false">SUM('Ablesewerte Strom'!M239-'Ablesewerte Strom'!L239)</f>
        <v>1713.89999999997</v>
      </c>
      <c r="N253" s="54" t="n">
        <f aca="false">SUM('Ablesewerte Strom'!N239-'Ablesewerte Strom'!M239)</f>
        <v>1894.10000000004</v>
      </c>
      <c r="O253" s="54" t="n">
        <f aca="false">SUM('Ablesewerte Strom'!O239-'Ablesewerte Strom'!N239)</f>
        <v>1287.5</v>
      </c>
      <c r="Q253" s="54" t="n">
        <f aca="false">SUM(D253:O253)</f>
        <v>17866.4</v>
      </c>
    </row>
    <row r="254" customFormat="false" ht="12.75" hidden="false" customHeight="false" outlineLevel="0" collapsed="false">
      <c r="A254" s="1" t="s">
        <v>29</v>
      </c>
      <c r="D254" s="54" t="n">
        <f aca="false">SUM('Ablesewerte Strom'!D240-'Ablesewerte Strom'!C240)</f>
        <v>0</v>
      </c>
      <c r="E254" s="54" t="n">
        <f aca="false">SUM('Ablesewerte Strom'!E240-'Ablesewerte Strom'!D240)</f>
        <v>0</v>
      </c>
      <c r="F254" s="54" t="n">
        <f aca="false">SUM('Ablesewerte Strom'!F240-'Ablesewerte Strom'!E240)</f>
        <v>0</v>
      </c>
      <c r="G254" s="54" t="n">
        <f aca="false">SUM('Ablesewerte Strom'!G240-'Ablesewerte Strom'!F240)</f>
        <v>0</v>
      </c>
      <c r="H254" s="54" t="n">
        <f aca="false">SUM('Ablesewerte Strom'!H240-'Ablesewerte Strom'!G240)</f>
        <v>0</v>
      </c>
      <c r="I254" s="54" t="n">
        <f aca="false">SUM('Ablesewerte Strom'!I240-'Ablesewerte Strom'!H240)</f>
        <v>0</v>
      </c>
      <c r="J254" s="54" t="n">
        <f aca="false">SUM('Ablesewerte Strom'!J240-'Ablesewerte Strom'!I240)</f>
        <v>0</v>
      </c>
      <c r="K254" s="54" t="n">
        <f aca="false">SUM('Ablesewerte Strom'!K240-'Ablesewerte Strom'!J240)</f>
        <v>0</v>
      </c>
      <c r="L254" s="54" t="n">
        <f aca="false">SUM('Ablesewerte Strom'!L240-'Ablesewerte Strom'!K240)</f>
        <v>0</v>
      </c>
      <c r="M254" s="54" t="n">
        <f aca="false">SUM('Ablesewerte Strom'!M240-'Ablesewerte Strom'!L240)</f>
        <v>0</v>
      </c>
      <c r="N254" s="54" t="n">
        <f aca="false">SUM('Ablesewerte Strom'!N240-'Ablesewerte Strom'!M240)</f>
        <v>0</v>
      </c>
      <c r="O254" s="54" t="n">
        <f aca="false">SUM('Ablesewerte Strom'!O240-'Ablesewerte Strom'!N240)</f>
        <v>0</v>
      </c>
      <c r="Q254" s="54" t="n">
        <f aca="false">SUM(D254:P254)</f>
        <v>0</v>
      </c>
    </row>
    <row r="255" customFormat="false" ht="12.75" hidden="false" customHeight="false" outlineLevel="0" collapsed="false">
      <c r="A255" s="1" t="s">
        <v>30</v>
      </c>
      <c r="D255" s="54" t="n">
        <f aca="false">SUM('Ablesewerte Strom'!D241-'Ablesewerte Strom'!C241)</f>
        <v>32</v>
      </c>
      <c r="E255" s="54" t="n">
        <f aca="false">SUM('Ablesewerte Strom'!E241-'Ablesewerte Strom'!D241)</f>
        <v>35</v>
      </c>
      <c r="F255" s="54" t="n">
        <f aca="false">SUM('Ablesewerte Strom'!F241-'Ablesewerte Strom'!E241)</f>
        <v>35</v>
      </c>
      <c r="G255" s="54" t="n">
        <f aca="false">SUM('Ablesewerte Strom'!G241-'Ablesewerte Strom'!F241)</f>
        <v>34</v>
      </c>
      <c r="H255" s="54" t="n">
        <f aca="false">SUM('Ablesewerte Strom'!H241-'Ablesewerte Strom'!G241)</f>
        <v>32</v>
      </c>
      <c r="I255" s="54" t="n">
        <f aca="false">SUM('Ablesewerte Strom'!I241-'Ablesewerte Strom'!H241)</f>
        <v>29</v>
      </c>
      <c r="J255" s="54" t="n">
        <f aca="false">SUM('Ablesewerte Strom'!J241-'Ablesewerte Strom'!I241)</f>
        <v>61</v>
      </c>
      <c r="K255" s="54" t="n">
        <f aca="false">SUM('Ablesewerte Strom'!K241-'Ablesewerte Strom'!J241)</f>
        <v>53</v>
      </c>
      <c r="L255" s="54" t="n">
        <f aca="false">SUM('Ablesewerte Strom'!L241-'Ablesewerte Strom'!K241)</f>
        <v>57</v>
      </c>
      <c r="M255" s="54" t="n">
        <f aca="false">SUM('Ablesewerte Strom'!M241-'Ablesewerte Strom'!L241)</f>
        <v>13</v>
      </c>
      <c r="N255" s="54" t="n">
        <f aca="false">SUM('Ablesewerte Strom'!N241-'Ablesewerte Strom'!M241)</f>
        <v>36</v>
      </c>
      <c r="O255" s="54" t="n">
        <f aca="false">SUM('Ablesewerte Strom'!O241-'Ablesewerte Strom'!N241)</f>
        <v>36</v>
      </c>
      <c r="Q255" s="54" t="n">
        <f aca="false">SUM(D255:P255)</f>
        <v>453</v>
      </c>
    </row>
    <row r="256" customFormat="false" ht="12.75" hidden="false" customHeight="false" outlineLevel="0" collapsed="false">
      <c r="A256" s="1" t="s">
        <v>31</v>
      </c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</row>
    <row r="257" customFormat="false" ht="12.75" hidden="false" customHeight="false" outlineLevel="0" collapsed="false"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Q257" s="54" t="n">
        <f aca="false">SUM(D256:O257)</f>
        <v>0</v>
      </c>
    </row>
    <row r="258" customFormat="false" ht="12.75" hidden="false" customHeight="false" outlineLevel="0" collapsed="false">
      <c r="A258" s="1" t="s">
        <v>48</v>
      </c>
      <c r="D258" s="54" t="n">
        <f aca="false">SUM('Ablesewerte Strom'!D243-'Ablesewerte Strom'!C243)</f>
        <v>3121.6</v>
      </c>
      <c r="E258" s="54" t="n">
        <f aca="false">SUM('Ablesewerte Strom'!E243-'Ablesewerte Strom'!D243)</f>
        <v>3090.6</v>
      </c>
      <c r="F258" s="54" t="n">
        <f aca="false">SUM('Ablesewerte Strom'!F243-'Ablesewerte Strom'!E243)</f>
        <v>3172.8</v>
      </c>
      <c r="G258" s="54" t="n">
        <f aca="false">SUM('Ablesewerte Strom'!G243-'Ablesewerte Strom'!F243)</f>
        <v>3128.9</v>
      </c>
      <c r="H258" s="54" t="n">
        <f aca="false">SUM('Ablesewerte Strom'!H243-'Ablesewerte Strom'!G243)</f>
        <v>2147.6</v>
      </c>
      <c r="I258" s="54" t="n">
        <f aca="false">SUM('Ablesewerte Strom'!I243-'Ablesewerte Strom'!H243)</f>
        <v>3564.6</v>
      </c>
      <c r="J258" s="54" t="n">
        <f aca="false">SUM('Ablesewerte Strom'!J243-'Ablesewerte Strom'!I243)</f>
        <v>3286.9</v>
      </c>
      <c r="K258" s="54" t="n">
        <f aca="false">SUM('Ablesewerte Strom'!K243-'Ablesewerte Strom'!J243)</f>
        <v>2385.89999999999</v>
      </c>
      <c r="L258" s="54" t="n">
        <f aca="false">SUM('Ablesewerte Strom'!L243-'Ablesewerte Strom'!K243)</f>
        <v>3123.40000000001</v>
      </c>
      <c r="M258" s="54" t="n">
        <f aca="false">SUM('Ablesewerte Strom'!M243-'Ablesewerte Strom'!L243)</f>
        <v>3230.3</v>
      </c>
      <c r="N258" s="54" t="n">
        <f aca="false">SUM('Ablesewerte Strom'!N243-'Ablesewerte Strom'!M243)</f>
        <v>3602.59999999999</v>
      </c>
      <c r="O258" s="54" t="n">
        <f aca="false">SUM('Ablesewerte Strom'!O243-'Ablesewerte Strom'!N243)</f>
        <v>2400</v>
      </c>
      <c r="P258" s="54" t="n">
        <f aca="false">SUM(D258:O258)</f>
        <v>36255.2</v>
      </c>
    </row>
    <row r="259" customFormat="false" ht="12.75" hidden="false" customHeight="false" outlineLevel="0" collapsed="false">
      <c r="A259" s="1" t="s">
        <v>49</v>
      </c>
      <c r="D259" s="54" t="n">
        <f aca="false">SUM('Ablesewerte Strom'!D244-'Ablesewerte Strom'!C244)</f>
        <v>2014.5</v>
      </c>
      <c r="E259" s="54" t="n">
        <f aca="false">SUM('Ablesewerte Strom'!E244-'Ablesewerte Strom'!D244)</f>
        <v>2277.6</v>
      </c>
      <c r="F259" s="54" t="n">
        <f aca="false">SUM('Ablesewerte Strom'!F244-'Ablesewerte Strom'!E244)</f>
        <v>2212.4</v>
      </c>
      <c r="G259" s="54" t="n">
        <f aca="false">SUM('Ablesewerte Strom'!G244-'Ablesewerte Strom'!F244)</f>
        <v>2022.6</v>
      </c>
      <c r="H259" s="54" t="n">
        <f aca="false">SUM('Ablesewerte Strom'!H244-'Ablesewerte Strom'!G244)</f>
        <v>1543</v>
      </c>
      <c r="I259" s="54" t="n">
        <f aca="false">SUM('Ablesewerte Strom'!I244-'Ablesewerte Strom'!H244)</f>
        <v>1704.8</v>
      </c>
      <c r="J259" s="54" t="n">
        <f aca="false">SUM('Ablesewerte Strom'!J244-'Ablesewerte Strom'!I244)</f>
        <v>1687.9</v>
      </c>
      <c r="K259" s="54" t="n">
        <f aca="false">SUM('Ablesewerte Strom'!K244-'Ablesewerte Strom'!J244)</f>
        <v>1245</v>
      </c>
      <c r="L259" s="54" t="n">
        <f aca="false">SUM('Ablesewerte Strom'!L244-'Ablesewerte Strom'!K244)</f>
        <v>1850</v>
      </c>
      <c r="M259" s="54" t="n">
        <f aca="false">SUM('Ablesewerte Strom'!M244-'Ablesewerte Strom'!L244)</f>
        <v>2410.1</v>
      </c>
      <c r="N259" s="54" t="n">
        <f aca="false">SUM('Ablesewerte Strom'!N244-'Ablesewerte Strom'!M244)</f>
        <v>2404.9</v>
      </c>
      <c r="O259" s="54" t="n">
        <f aca="false">SUM('Ablesewerte Strom'!O244-'Ablesewerte Strom'!N244)</f>
        <v>1609.89999999999</v>
      </c>
      <c r="P259" s="54" t="n">
        <f aca="false">SUM(D259:O259)</f>
        <v>22982.7</v>
      </c>
    </row>
    <row r="260" customFormat="false" ht="12.75" hidden="false" customHeight="false" outlineLevel="0" collapsed="false">
      <c r="A260" s="1" t="s">
        <v>50</v>
      </c>
      <c r="D260" s="54" t="n">
        <f aca="false">SUM('Ablesewerte Strom'!D245-'Ablesewerte Strom'!C245)</f>
        <v>1663.2</v>
      </c>
      <c r="E260" s="54" t="n">
        <f aca="false">SUM('Ablesewerte Strom'!E245-'Ablesewerte Strom'!D245)</f>
        <v>1051.2</v>
      </c>
      <c r="F260" s="54" t="n">
        <f aca="false">SUM('Ablesewerte Strom'!F245-'Ablesewerte Strom'!E245)</f>
        <v>1004</v>
      </c>
      <c r="G260" s="54" t="n">
        <f aca="false">SUM('Ablesewerte Strom'!G245-'Ablesewerte Strom'!F245)</f>
        <v>924.600000000006</v>
      </c>
      <c r="H260" s="54" t="n">
        <f aca="false">SUM('Ablesewerte Strom'!H245-'Ablesewerte Strom'!G245)</f>
        <v>645.299999999988</v>
      </c>
      <c r="I260" s="54" t="n">
        <f aca="false">SUM('Ablesewerte Strom'!I245-'Ablesewerte Strom'!H245)</f>
        <v>750.900000000009</v>
      </c>
      <c r="J260" s="54" t="n">
        <f aca="false">SUM('Ablesewerte Strom'!J245-'Ablesewerte Strom'!I245)</f>
        <v>632.899999999994</v>
      </c>
      <c r="K260" s="54" t="n">
        <f aca="false">SUM('Ablesewerte Strom'!K245-'Ablesewerte Strom'!J245)</f>
        <v>481.5</v>
      </c>
      <c r="L260" s="54" t="n">
        <f aca="false">SUM('Ablesewerte Strom'!L245-'Ablesewerte Strom'!K245)</f>
        <v>862.699999999997</v>
      </c>
      <c r="M260" s="54" t="n">
        <f aca="false">SUM('Ablesewerte Strom'!M245-'Ablesewerte Strom'!L245)</f>
        <v>928.600000000006</v>
      </c>
      <c r="N260" s="54" t="n">
        <f aca="false">SUM('Ablesewerte Strom'!N245-'Ablesewerte Strom'!M245)</f>
        <v>1146.3</v>
      </c>
      <c r="O260" s="54" t="n">
        <f aca="false">SUM('Ablesewerte Strom'!O245-'Ablesewerte Strom'!N245)</f>
        <v>802.5</v>
      </c>
      <c r="P260" s="54" t="n">
        <f aca="false">SUM(D260:O260)</f>
        <v>10893.7</v>
      </c>
    </row>
    <row r="261" customFormat="false" ht="12.75" hidden="false" customHeight="false" outlineLevel="0" collapsed="false">
      <c r="A261" s="1" t="s">
        <v>39</v>
      </c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</row>
    <row r="262" customFormat="false" ht="12.75" hidden="false" customHeight="false" outlineLevel="0" collapsed="false"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Q262" s="54" t="n">
        <f aca="false">SUM(D261:O262)</f>
        <v>0</v>
      </c>
    </row>
    <row r="263" customFormat="false" ht="12.75" hidden="false" customHeight="false" outlineLevel="0" collapsed="false">
      <c r="A263" s="1" t="s">
        <v>53</v>
      </c>
      <c r="D263" s="54" t="n">
        <f aca="false">SUM('Ablesewerte Strom'!D247-'Ablesewerte Strom'!C247)</f>
        <v>3368.89999999997</v>
      </c>
      <c r="E263" s="54" t="n">
        <f aca="false">SUM('Ablesewerte Strom'!E247-'Ablesewerte Strom'!D247)</f>
        <v>3839.40000000002</v>
      </c>
      <c r="F263" s="54" t="n">
        <f aca="false">SUM('Ablesewerte Strom'!F247-'Ablesewerte Strom'!E247)</f>
        <v>2746.29999999999</v>
      </c>
      <c r="G263" s="54" t="n">
        <f aca="false">SUM('Ablesewerte Strom'!G247-'Ablesewerte Strom'!F247)</f>
        <v>2318.5</v>
      </c>
      <c r="H263" s="54" t="n">
        <f aca="false">SUM('Ablesewerte Strom'!H247-'Ablesewerte Strom'!G247)</f>
        <v>1309.29999999999</v>
      </c>
      <c r="I263" s="54" t="n">
        <f aca="false">SUM('Ablesewerte Strom'!I247-'Ablesewerte Strom'!H247)</f>
        <v>1267</v>
      </c>
      <c r="J263" s="54" t="n">
        <f aca="false">SUM('Ablesewerte Strom'!J247-'Ablesewerte Strom'!I247)</f>
        <v>918.5</v>
      </c>
      <c r="K263" s="54" t="n">
        <f aca="false">SUM('Ablesewerte Strom'!K247-'Ablesewerte Strom'!J247)</f>
        <v>943.799999999988</v>
      </c>
      <c r="L263" s="54" t="n">
        <f aca="false">SUM('Ablesewerte Strom'!L247-'Ablesewerte Strom'!K247)</f>
        <v>2349</v>
      </c>
      <c r="M263" s="54" t="n">
        <f aca="false">SUM('Ablesewerte Strom'!M247-'Ablesewerte Strom'!L247)</f>
        <v>3665.70000000001</v>
      </c>
      <c r="N263" s="54" t="n">
        <f aca="false">SUM('Ablesewerte Strom'!N247-'Ablesewerte Strom'!M247)</f>
        <v>4822.60000000004</v>
      </c>
      <c r="O263" s="54" t="n">
        <f aca="false">SUM('Ablesewerte Strom'!O247-'Ablesewerte Strom'!N247)</f>
        <v>2959.69999999995</v>
      </c>
      <c r="P263" s="54" t="n">
        <f aca="false">SUM(D263:O263)</f>
        <v>30508.7</v>
      </c>
      <c r="Q263" s="1" t="s">
        <v>54</v>
      </c>
      <c r="R263" s="81" t="n">
        <f aca="false">SUM(Q252:Q262)</f>
        <v>43964.4</v>
      </c>
    </row>
    <row r="264" customFormat="false" ht="12.75" hidden="false" customHeight="false" outlineLevel="0" collapsed="false">
      <c r="A264" s="82" t="s">
        <v>41</v>
      </c>
      <c r="B264" s="23"/>
      <c r="C264" s="24"/>
      <c r="D264" s="54" t="n">
        <f aca="false">SUM('Ablesewerte Strom'!D248-'Ablesewerte Strom'!C248)</f>
        <v>19145.8</v>
      </c>
      <c r="E264" s="54" t="n">
        <f aca="false">SUM('Ablesewerte Strom'!E248-'Ablesewerte Strom'!D248)</f>
        <v>21662.8</v>
      </c>
      <c r="F264" s="54" t="n">
        <f aca="false">SUM('Ablesewerte Strom'!F248-'Ablesewerte Strom'!E248)</f>
        <v>21459.6</v>
      </c>
      <c r="G264" s="54" t="n">
        <f aca="false">SUM('Ablesewerte Strom'!G248-'Ablesewerte Strom'!F248)</f>
        <v>14709.2</v>
      </c>
      <c r="H264" s="54" t="n">
        <f aca="false">SUM('Ablesewerte Strom'!H248-'Ablesewerte Strom'!G248)</f>
        <v>5620.19</v>
      </c>
      <c r="I264" s="54" t="n">
        <f aca="false">SUM('Ablesewerte Strom'!I248-'Ablesewerte Strom'!H248)</f>
        <v>992.149999999965</v>
      </c>
      <c r="J264" s="54" t="n">
        <f aca="false">SUM('Ablesewerte Strom'!J248-'Ablesewerte Strom'!I248)</f>
        <v>3226.83000000002</v>
      </c>
      <c r="K264" s="54" t="n">
        <f aca="false">SUM('Ablesewerte Strom'!K248-'Ablesewerte Strom'!J248)</f>
        <v>5059.46000000002</v>
      </c>
      <c r="L264" s="54" t="n">
        <f aca="false">SUM('Ablesewerte Strom'!L248-'Ablesewerte Strom'!K248)</f>
        <v>8507.12</v>
      </c>
      <c r="M264" s="54" t="n">
        <f aca="false">SUM('Ablesewerte Strom'!M248-'Ablesewerte Strom'!L248)</f>
        <v>12594.62</v>
      </c>
      <c r="N264" s="54" t="n">
        <f aca="false">SUM('Ablesewerte Strom'!N248-'Ablesewerte Strom'!M248)</f>
        <v>22169.88</v>
      </c>
      <c r="O264" s="54" t="n">
        <f aca="false">SUM('Ablesewerte Strom'!O248-'Ablesewerte Strom'!N248)</f>
        <v>13198.51</v>
      </c>
      <c r="P264" s="23"/>
      <c r="Q264" s="23"/>
      <c r="R264" s="23"/>
    </row>
    <row r="265" customFormat="false" ht="13.8" hidden="false" customHeight="false" outlineLevel="0" collapsed="false">
      <c r="A265" s="83" t="s">
        <v>42</v>
      </c>
      <c r="B265" s="23"/>
      <c r="C265" s="24"/>
      <c r="D265" s="54" t="n">
        <f aca="false">SUM('Ablesewerte Strom'!D249-'Ablesewerte Strom'!C249)</f>
        <v>46.3000000000002</v>
      </c>
      <c r="E265" s="54" t="n">
        <f aca="false">SUM('Ablesewerte Strom'!E249-'Ablesewerte Strom'!D249)</f>
        <v>53.8000000000002</v>
      </c>
      <c r="F265" s="54" t="n">
        <f aca="false">SUM('Ablesewerte Strom'!F249-'Ablesewerte Strom'!E249)</f>
        <v>60.0999999999995</v>
      </c>
      <c r="G265" s="54" t="n">
        <f aca="false">SUM('Ablesewerte Strom'!G249-'Ablesewerte Strom'!F249)</f>
        <v>36.8000000000002</v>
      </c>
      <c r="H265" s="54" t="n">
        <f aca="false">SUM('Ablesewerte Strom'!H249-'Ablesewerte Strom'!G249)</f>
        <v>17.8999999999996</v>
      </c>
      <c r="I265" s="54" t="n">
        <f aca="false">SUM('Ablesewerte Strom'!I249-'Ablesewerte Strom'!H249)</f>
        <v>1.60000000000036</v>
      </c>
      <c r="J265" s="54" t="n">
        <f aca="false">SUM('Ablesewerte Strom'!J249-'Ablesewerte Strom'!I249)</f>
        <v>13.1000000000004</v>
      </c>
      <c r="K265" s="54" t="n">
        <f aca="false">SUM('Ablesewerte Strom'!K249-'Ablesewerte Strom'!J249)</f>
        <v>22</v>
      </c>
      <c r="L265" s="54" t="n">
        <f aca="false">SUM('Ablesewerte Strom'!L249-'Ablesewerte Strom'!K249)</f>
        <v>24.2999999999993</v>
      </c>
      <c r="M265" s="54" t="n">
        <f aca="false">SUM('Ablesewerte Strom'!M249-'Ablesewerte Strom'!L249)</f>
        <v>22.5500000000002</v>
      </c>
      <c r="N265" s="54" t="n">
        <f aca="false">SUM('Ablesewerte Strom'!N249-'Ablesewerte Strom'!M249)</f>
        <v>51.5500000000002</v>
      </c>
      <c r="O265" s="54" t="n">
        <f aca="false">SUM('Ablesewerte Strom'!O249-'Ablesewerte Strom'!N249)</f>
        <v>31.1000000000004</v>
      </c>
      <c r="P265" s="23"/>
      <c r="Q265" s="23"/>
      <c r="R265" s="23"/>
    </row>
    <row r="266" customFormat="false" ht="12.75" hidden="false" customHeight="false" outlineLevel="0" collapsed="false">
      <c r="A266" s="82" t="s">
        <v>43</v>
      </c>
      <c r="B266" s="23"/>
      <c r="C266" s="23"/>
      <c r="D266" s="54" t="n">
        <f aca="false">SUM('Ablesewerte Strom'!D250-'Ablesewerte Strom'!C250)</f>
        <v>802</v>
      </c>
      <c r="E266" s="54" t="n">
        <f aca="false">SUM('Ablesewerte Strom'!E250-'Ablesewerte Strom'!D250)</f>
        <v>1087</v>
      </c>
      <c r="F266" s="54" t="n">
        <f aca="false">SUM('Ablesewerte Strom'!F250-'Ablesewerte Strom'!E250)</f>
        <v>2108</v>
      </c>
      <c r="G266" s="54" t="n">
        <f aca="false">SUM('Ablesewerte Strom'!G250-'Ablesewerte Strom'!F250)</f>
        <v>2732</v>
      </c>
      <c r="H266" s="54" t="n">
        <f aca="false">SUM('Ablesewerte Strom'!H250-'Ablesewerte Strom'!G250)</f>
        <v>2857</v>
      </c>
      <c r="I266" s="54" t="n">
        <f aca="false">SUM('Ablesewerte Strom'!I250-'Ablesewerte Strom'!H250)</f>
        <v>3166</v>
      </c>
      <c r="J266" s="54" t="n">
        <f aca="false">SUM('Ablesewerte Strom'!J250-'Ablesewerte Strom'!I250)</f>
        <v>3343</v>
      </c>
      <c r="K266" s="54" t="n">
        <f aca="false">SUM('Ablesewerte Strom'!K250-'Ablesewerte Strom'!J250)</f>
        <v>3632</v>
      </c>
      <c r="L266" s="54" t="n">
        <f aca="false">SUM('Ablesewerte Strom'!L250-'Ablesewerte Strom'!K250)</f>
        <v>2017</v>
      </c>
      <c r="M266" s="54" t="n">
        <f aca="false">SUM('Ablesewerte Strom'!M250-'Ablesewerte Strom'!L250)</f>
        <v>1358</v>
      </c>
      <c r="N266" s="54" t="n">
        <f aca="false">SUM('Ablesewerte Strom'!N250-'Ablesewerte Strom'!M250)</f>
        <v>628</v>
      </c>
      <c r="O266" s="54" t="n">
        <f aca="false">SUM('Ablesewerte Strom'!O250-'Ablesewerte Strom'!N250)</f>
        <v>187</v>
      </c>
      <c r="P266" s="23"/>
      <c r="Q266" s="23"/>
      <c r="R266" s="23"/>
    </row>
    <row r="270" customFormat="false" ht="15" hidden="false" customHeight="false" outlineLevel="0" collapsed="false">
      <c r="A270" s="2" t="n">
        <v>2025</v>
      </c>
    </row>
    <row r="271" customFormat="false" ht="15" hidden="false" customHeight="false" outlineLevel="0" collapsed="false">
      <c r="A271" s="2" t="s">
        <v>23</v>
      </c>
      <c r="D271" s="79" t="s">
        <v>2</v>
      </c>
      <c r="E271" s="79" t="s">
        <v>3</v>
      </c>
      <c r="F271" s="79" t="s">
        <v>4</v>
      </c>
      <c r="G271" s="79" t="s">
        <v>5</v>
      </c>
      <c r="H271" s="79" t="s">
        <v>6</v>
      </c>
      <c r="I271" s="79" t="s">
        <v>7</v>
      </c>
      <c r="J271" s="79" t="s">
        <v>8</v>
      </c>
      <c r="K271" s="79" t="s">
        <v>9</v>
      </c>
      <c r="L271" s="79" t="s">
        <v>10</v>
      </c>
      <c r="M271" s="79" t="s">
        <v>11</v>
      </c>
      <c r="N271" s="79" t="s">
        <v>12</v>
      </c>
      <c r="O271" s="79" t="s">
        <v>13</v>
      </c>
    </row>
    <row r="273" customFormat="false" ht="12.75" hidden="false" customHeight="false" outlineLevel="0" collapsed="false">
      <c r="A273" s="1" t="s">
        <v>27</v>
      </c>
      <c r="D273" s="54" t="n">
        <f aca="false">SUM('Ablesewerte Strom'!D259-'Ablesewerte Strom'!C259)</f>
        <v>3904</v>
      </c>
      <c r="E273" s="54" t="n">
        <f aca="false">SUM('Ablesewerte Strom'!E259-'Ablesewerte Strom'!D259)</f>
        <v>2860</v>
      </c>
      <c r="F273" s="54" t="n">
        <f aca="false">SUM('Ablesewerte Strom'!F259-'Ablesewerte Strom'!E259)</f>
        <v>2885</v>
      </c>
      <c r="G273" s="54" t="n">
        <f aca="false">SUM('Ablesewerte Strom'!G259-'Ablesewerte Strom'!F259)</f>
        <v>2272</v>
      </c>
      <c r="H273" s="54" t="n">
        <f aca="false">SUM('Ablesewerte Strom'!H259-'Ablesewerte Strom'!G259)</f>
        <v>2079</v>
      </c>
      <c r="I273" s="54" t="n">
        <f aca="false">SUM('Ablesewerte Strom'!I259-'Ablesewerte Strom'!H259)</f>
        <v>1660</v>
      </c>
      <c r="J273" s="54" t="n">
        <f aca="false">SUM('Ablesewerte Strom'!J259-'Ablesewerte Strom'!I259)</f>
        <v>2108</v>
      </c>
      <c r="K273" s="54" t="n">
        <f aca="false">SUM('Ablesewerte Strom'!K259-'Ablesewerte Strom'!J259)</f>
        <v>1548</v>
      </c>
      <c r="L273" s="54" t="n">
        <f aca="false">SUM('Ablesewerte Strom'!L259-'Ablesewerte Strom'!K259)</f>
        <v>2298</v>
      </c>
      <c r="M273" s="54" t="n">
        <f aca="false">SUM('Ablesewerte Strom'!M259-'Ablesewerte Strom'!L259)</f>
        <v>2826</v>
      </c>
      <c r="N273" s="54" t="n">
        <f aca="false">SUM('Ablesewerte Strom'!N259-'Ablesewerte Strom'!M259)</f>
        <v>2742</v>
      </c>
      <c r="O273" s="54" t="n">
        <f aca="false">SUM('Ablesewerte Strom'!O259-'Ablesewerte Strom'!N259)</f>
        <v>1854</v>
      </c>
      <c r="Q273" s="54" t="n">
        <f aca="false">SUM(D273:O273)</f>
        <v>29036</v>
      </c>
    </row>
    <row r="274" customFormat="false" ht="12.75" hidden="false" customHeight="false" outlineLevel="0" collapsed="false">
      <c r="A274" s="1" t="s">
        <v>28</v>
      </c>
      <c r="D274" s="54" t="n">
        <f aca="false">SUM('Ablesewerte Strom'!D260-'Ablesewerte Strom'!C260)</f>
        <v>2801.59999999998</v>
      </c>
      <c r="E274" s="54" t="n">
        <f aca="false">SUM('Ablesewerte Strom'!E260-'Ablesewerte Strom'!D260)</f>
        <v>2037.20000000001</v>
      </c>
      <c r="F274" s="54" t="n">
        <f aca="false">SUM('Ablesewerte Strom'!F260-'Ablesewerte Strom'!E260)</f>
        <v>2099.70000000001</v>
      </c>
      <c r="G274" s="54" t="n">
        <f aca="false">SUM('Ablesewerte Strom'!G260-'Ablesewerte Strom'!F260)</f>
        <v>1602.29999999999</v>
      </c>
      <c r="H274" s="54" t="n">
        <f aca="false">SUM('Ablesewerte Strom'!H260-'Ablesewerte Strom'!G260)</f>
        <v>1455.29999999999</v>
      </c>
      <c r="I274" s="54" t="n">
        <f aca="false">SUM('Ablesewerte Strom'!I260-'Ablesewerte Strom'!H260)</f>
        <v>1139.59999999998</v>
      </c>
      <c r="J274" s="54" t="n">
        <f aca="false">SUM('Ablesewerte Strom'!J260-'Ablesewerte Strom'!I260)</f>
        <v>1444.80000000005</v>
      </c>
      <c r="K274" s="54" t="n">
        <f aca="false">SUM('Ablesewerte Strom'!K260-'Ablesewerte Strom'!J260)</f>
        <v>1050.39999999997</v>
      </c>
      <c r="L274" s="54" t="n">
        <f aca="false">SUM('Ablesewerte Strom'!L260-'Ablesewerte Strom'!K260)</f>
        <v>1510</v>
      </c>
      <c r="M274" s="54" t="n">
        <f aca="false">SUM('Ablesewerte Strom'!M260-'Ablesewerte Strom'!L260)</f>
        <v>1918.90000000002</v>
      </c>
      <c r="N274" s="54" t="n">
        <f aca="false">SUM('Ablesewerte Strom'!N260-'Ablesewerte Strom'!M260)</f>
        <v>1911.70000000001</v>
      </c>
      <c r="O274" s="54" t="n">
        <f aca="false">SUM('Ablesewerte Strom'!O260-'Ablesewerte Strom'!N260)</f>
        <v>1278.19999999995</v>
      </c>
      <c r="Q274" s="54" t="n">
        <f aca="false">SUM(D274:O274)</f>
        <v>20249.7</v>
      </c>
    </row>
    <row r="275" customFormat="false" ht="12.75" hidden="false" customHeight="false" outlineLevel="0" collapsed="false">
      <c r="A275" s="1" t="s">
        <v>29</v>
      </c>
      <c r="D275" s="54" t="n">
        <f aca="false">SUM('Ablesewerte Strom'!D261-'Ablesewerte Strom'!C261)</f>
        <v>0</v>
      </c>
      <c r="E275" s="54" t="n">
        <f aca="false">SUM('Ablesewerte Strom'!E261-'Ablesewerte Strom'!D261)</f>
        <v>0</v>
      </c>
      <c r="F275" s="54" t="n">
        <f aca="false">SUM('Ablesewerte Strom'!F261-'Ablesewerte Strom'!E261)</f>
        <v>0</v>
      </c>
      <c r="G275" s="54" t="n">
        <f aca="false">SUM('Ablesewerte Strom'!G261-'Ablesewerte Strom'!F261)</f>
        <v>0</v>
      </c>
      <c r="H275" s="54" t="n">
        <f aca="false">SUM('Ablesewerte Strom'!H261-'Ablesewerte Strom'!G261)</f>
        <v>0</v>
      </c>
      <c r="I275" s="54" t="n">
        <f aca="false">SUM('Ablesewerte Strom'!I261-'Ablesewerte Strom'!H261)</f>
        <v>0</v>
      </c>
      <c r="J275" s="54" t="n">
        <f aca="false">SUM('Ablesewerte Strom'!J261-'Ablesewerte Strom'!I261)</f>
        <v>0</v>
      </c>
      <c r="K275" s="54" t="n">
        <f aca="false">SUM('Ablesewerte Strom'!K261-'Ablesewerte Strom'!J261)</f>
        <v>0</v>
      </c>
      <c r="L275" s="54" t="n">
        <f aca="false">SUM('Ablesewerte Strom'!L261-'Ablesewerte Strom'!K261)</f>
        <v>0</v>
      </c>
      <c r="M275" s="54" t="n">
        <f aca="false">SUM('Ablesewerte Strom'!M261-'Ablesewerte Strom'!L261)</f>
        <v>0</v>
      </c>
      <c r="N275" s="54" t="n">
        <f aca="false">SUM('Ablesewerte Strom'!N261-'Ablesewerte Strom'!M261)</f>
        <v>0</v>
      </c>
      <c r="O275" s="54" t="n">
        <f aca="false">SUM('Ablesewerte Strom'!O261-'Ablesewerte Strom'!N261)</f>
        <v>0</v>
      </c>
      <c r="Q275" s="54" t="n">
        <f aca="false">SUM(D275:P275)</f>
        <v>0</v>
      </c>
    </row>
    <row r="276" customFormat="false" ht="12.75" hidden="false" customHeight="false" outlineLevel="0" collapsed="false">
      <c r="A276" s="1" t="s">
        <v>30</v>
      </c>
      <c r="D276" s="54" t="n">
        <f aca="false">SUM('Ablesewerte Strom'!D262-'Ablesewerte Strom'!C262)</f>
        <v>89</v>
      </c>
      <c r="E276" s="54" t="n">
        <f aca="false">SUM('Ablesewerte Strom'!E262-'Ablesewerte Strom'!D262)</f>
        <v>46</v>
      </c>
      <c r="F276" s="54" t="n">
        <f aca="false">SUM('Ablesewerte Strom'!F262-'Ablesewerte Strom'!E262)</f>
        <v>45</v>
      </c>
      <c r="G276" s="54" t="n">
        <f aca="false">SUM('Ablesewerte Strom'!G262-'Ablesewerte Strom'!F262)</f>
        <v>62</v>
      </c>
      <c r="H276" s="54" t="n">
        <f aca="false">SUM('Ablesewerte Strom'!H262-'Ablesewerte Strom'!G262)</f>
        <v>30</v>
      </c>
      <c r="I276" s="54" t="n">
        <f aca="false">SUM('Ablesewerte Strom'!I262-'Ablesewerte Strom'!H262)</f>
        <v>24</v>
      </c>
      <c r="J276" s="54" t="n">
        <f aca="false">SUM('Ablesewerte Strom'!J262-'Ablesewerte Strom'!I262)</f>
        <v>27</v>
      </c>
      <c r="K276" s="54" t="n">
        <f aca="false">SUM('Ablesewerte Strom'!K262-'Ablesewerte Strom'!J262)</f>
        <v>23</v>
      </c>
      <c r="L276" s="54" t="n">
        <f aca="false">SUM('Ablesewerte Strom'!L262-'Ablesewerte Strom'!K262)</f>
        <v>36</v>
      </c>
      <c r="M276" s="54" t="n">
        <f aca="false">SUM('Ablesewerte Strom'!M262-'Ablesewerte Strom'!L262)</f>
        <v>40</v>
      </c>
      <c r="N276" s="54" t="n">
        <f aca="false">SUM('Ablesewerte Strom'!N262-'Ablesewerte Strom'!M262)</f>
        <v>25</v>
      </c>
      <c r="O276" s="54" t="n">
        <f aca="false">SUM('Ablesewerte Strom'!O262-'Ablesewerte Strom'!N262)</f>
        <v>20</v>
      </c>
      <c r="Q276" s="54" t="n">
        <f aca="false">SUM(D276:P276)</f>
        <v>467</v>
      </c>
    </row>
    <row r="277" customFormat="false" ht="12.75" hidden="false" customHeight="false" outlineLevel="0" collapsed="false">
      <c r="A277" s="1" t="s">
        <v>31</v>
      </c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</row>
    <row r="278" customFormat="false" ht="12.75" hidden="false" customHeight="false" outlineLevel="0" collapsed="false"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Q278" s="54" t="n">
        <f aca="false">SUM(D277:O278)</f>
        <v>0</v>
      </c>
    </row>
    <row r="279" customFormat="false" ht="12.75" hidden="false" customHeight="false" outlineLevel="0" collapsed="false">
      <c r="A279" s="1" t="s">
        <v>48</v>
      </c>
      <c r="D279" s="54" t="n">
        <f aca="false">SUM('Ablesewerte Strom'!D264-'Ablesewerte Strom'!C264)</f>
        <v>3913.90000000001</v>
      </c>
      <c r="E279" s="54" t="n">
        <f aca="false">SUM('Ablesewerte Strom'!E264-'Ablesewerte Strom'!D264)</f>
        <v>3251.2</v>
      </c>
      <c r="F279" s="54" t="n">
        <f aca="false">SUM('Ablesewerte Strom'!F264-'Ablesewerte Strom'!E264)</f>
        <v>3204</v>
      </c>
      <c r="G279" s="54" t="n">
        <f aca="false">SUM('Ablesewerte Strom'!G264-'Ablesewerte Strom'!F264)</f>
        <v>2538</v>
      </c>
      <c r="H279" s="54" t="n">
        <f aca="false">SUM('Ablesewerte Strom'!H264-'Ablesewerte Strom'!G264)</f>
        <v>3214.89999999999</v>
      </c>
      <c r="I279" s="54" t="n">
        <f aca="false">SUM('Ablesewerte Strom'!I264-'Ablesewerte Strom'!H264)</f>
        <v>2302.60000000001</v>
      </c>
      <c r="J279" s="54" t="n">
        <f aca="false">SUM('Ablesewerte Strom'!J264-'Ablesewerte Strom'!I264)</f>
        <v>3366.39999999999</v>
      </c>
      <c r="K279" s="54" t="n">
        <f aca="false">SUM('Ablesewerte Strom'!K264-'Ablesewerte Strom'!J264)</f>
        <v>2521.10000000001</v>
      </c>
      <c r="L279" s="54" t="n">
        <f aca="false">SUM('Ablesewerte Strom'!L264-'Ablesewerte Strom'!K264)</f>
        <v>2608.2</v>
      </c>
      <c r="M279" s="54" t="n">
        <f aca="false">SUM('Ablesewerte Strom'!M264-'Ablesewerte Strom'!L264)</f>
        <v>3155.2</v>
      </c>
      <c r="N279" s="54" t="n">
        <f aca="false">SUM('Ablesewerte Strom'!N264-'Ablesewerte Strom'!M264)</f>
        <v>3091.40000000001</v>
      </c>
      <c r="O279" s="54" t="n">
        <f aca="false">SUM('Ablesewerte Strom'!O264-'Ablesewerte Strom'!N264)</f>
        <v>2175.79999999999</v>
      </c>
      <c r="P279" s="54" t="n">
        <f aca="false">SUM(D279:O279)</f>
        <v>35342.7</v>
      </c>
    </row>
    <row r="280" customFormat="false" ht="12.75" hidden="false" customHeight="false" outlineLevel="0" collapsed="false">
      <c r="A280" s="1" t="s">
        <v>49</v>
      </c>
      <c r="D280" s="54" t="n">
        <f aca="false">SUM('Ablesewerte Strom'!D265-'Ablesewerte Strom'!C265)</f>
        <v>3100.5</v>
      </c>
      <c r="E280" s="54" t="n">
        <f aca="false">SUM('Ablesewerte Strom'!E265-'Ablesewerte Strom'!D265)</f>
        <v>2242.60000000001</v>
      </c>
      <c r="F280" s="54" t="n">
        <f aca="false">SUM('Ablesewerte Strom'!F265-'Ablesewerte Strom'!E265)</f>
        <v>2119.5</v>
      </c>
      <c r="G280" s="54" t="n">
        <f aca="false">SUM('Ablesewerte Strom'!G265-'Ablesewerte Strom'!F265)</f>
        <v>1559.89999999999</v>
      </c>
      <c r="H280" s="54" t="n">
        <f aca="false">SUM('Ablesewerte Strom'!H265-'Ablesewerte Strom'!G265)</f>
        <v>1636</v>
      </c>
      <c r="I280" s="54" t="n">
        <f aca="false">SUM('Ablesewerte Strom'!I265-'Ablesewerte Strom'!H265)</f>
        <v>1017.8</v>
      </c>
      <c r="J280" s="54" t="n">
        <f aca="false">SUM('Ablesewerte Strom'!J265-'Ablesewerte Strom'!I265)</f>
        <v>1626.7</v>
      </c>
      <c r="K280" s="54" t="n">
        <f aca="false">SUM('Ablesewerte Strom'!K265-'Ablesewerte Strom'!J265)</f>
        <v>1359.60000000001</v>
      </c>
      <c r="L280" s="54" t="n">
        <f aca="false">SUM('Ablesewerte Strom'!L265-'Ablesewerte Strom'!K265)</f>
        <v>1568.3</v>
      </c>
      <c r="M280" s="54" t="n">
        <f aca="false">SUM('Ablesewerte Strom'!M265-'Ablesewerte Strom'!L265)</f>
        <v>2220.9</v>
      </c>
      <c r="N280" s="54" t="n">
        <f aca="false">SUM('Ablesewerte Strom'!N265-'Ablesewerte Strom'!M265)</f>
        <v>2311.10000000001</v>
      </c>
      <c r="O280" s="54" t="n">
        <f aca="false">SUM('Ablesewerte Strom'!O265-'Ablesewerte Strom'!N265)</f>
        <v>1565.5</v>
      </c>
      <c r="P280" s="54" t="n">
        <f aca="false">SUM(D280:O280)</f>
        <v>22328.4</v>
      </c>
    </row>
    <row r="281" customFormat="false" ht="12.75" hidden="false" customHeight="false" outlineLevel="0" collapsed="false">
      <c r="A281" s="1" t="s">
        <v>50</v>
      </c>
      <c r="D281" s="54" t="n">
        <f aca="false">SUM('Ablesewerte Strom'!D266-'Ablesewerte Strom'!C266)</f>
        <v>1401.09999999999</v>
      </c>
      <c r="E281" s="54" t="n">
        <f aca="false">SUM('Ablesewerte Strom'!E266-'Ablesewerte Strom'!D266)</f>
        <v>1049.40000000001</v>
      </c>
      <c r="F281" s="54" t="n">
        <f aca="false">SUM('Ablesewerte Strom'!F266-'Ablesewerte Strom'!E266)</f>
        <v>969</v>
      </c>
      <c r="G281" s="54" t="n">
        <f aca="false">SUM('Ablesewerte Strom'!G266-'Ablesewerte Strom'!F266)</f>
        <v>661.800000000003</v>
      </c>
      <c r="H281" s="54" t="n">
        <f aca="false">SUM('Ablesewerte Strom'!H266-'Ablesewerte Strom'!G266)</f>
        <v>718.399999999994</v>
      </c>
      <c r="I281" s="54" t="n">
        <f aca="false">SUM('Ablesewerte Strom'!I266-'Ablesewerte Strom'!H266)</f>
        <v>491.100000000006</v>
      </c>
      <c r="J281" s="54" t="n">
        <f aca="false">SUM('Ablesewerte Strom'!J266-'Ablesewerte Strom'!I266)</f>
        <v>602.199999999997</v>
      </c>
      <c r="K281" s="54" t="n">
        <f aca="false">SUM('Ablesewerte Strom'!K266-'Ablesewerte Strom'!J266)</f>
        <v>454.199999999997</v>
      </c>
      <c r="L281" s="54" t="n">
        <f aca="false">SUM('Ablesewerte Strom'!L266-'Ablesewerte Strom'!K266)</f>
        <v>715.800000000003</v>
      </c>
      <c r="M281" s="54" t="n">
        <f aca="false">SUM('Ablesewerte Strom'!M266-'Ablesewerte Strom'!L266)</f>
        <v>1030.2</v>
      </c>
      <c r="N281" s="54" t="n">
        <f aca="false">SUM('Ablesewerte Strom'!N266-'Ablesewerte Strom'!M266)</f>
        <v>1096.39999999999</v>
      </c>
      <c r="O281" s="54" t="n">
        <f aca="false">SUM('Ablesewerte Strom'!O266-'Ablesewerte Strom'!N266)</f>
        <v>767.100000000006</v>
      </c>
      <c r="P281" s="54" t="n">
        <f aca="false">SUM(D281:O281)</f>
        <v>9956.7</v>
      </c>
    </row>
    <row r="282" customFormat="false" ht="12.75" hidden="false" customHeight="false" outlineLevel="0" collapsed="false">
      <c r="A282" s="1" t="s">
        <v>39</v>
      </c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</row>
    <row r="283" customFormat="false" ht="12.75" hidden="false" customHeight="false" outlineLevel="0" collapsed="false"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Q283" s="54" t="n">
        <f aca="false">SUM(D282:O283)</f>
        <v>0</v>
      </c>
    </row>
    <row r="284" customFormat="false" ht="12.75" hidden="false" customHeight="false" outlineLevel="0" collapsed="false">
      <c r="A284" s="1" t="s">
        <v>53</v>
      </c>
      <c r="D284" s="54" t="n">
        <f aca="false">SUM('Ablesewerte Strom'!D268-'Ablesewerte Strom'!C268)</f>
        <v>4479.5</v>
      </c>
      <c r="E284" s="54" t="n">
        <f aca="false">SUM('Ablesewerte Strom'!E268-'Ablesewerte Strom'!D268)</f>
        <v>3400.40000000002</v>
      </c>
      <c r="F284" s="54" t="n">
        <f aca="false">SUM('Ablesewerte Strom'!F268-'Ablesewerte Strom'!E268)</f>
        <v>2841.5</v>
      </c>
      <c r="G284" s="54" t="n">
        <f aca="false">SUM('Ablesewerte Strom'!G268-'Ablesewerte Strom'!F268)</f>
        <v>1763.90000000002</v>
      </c>
      <c r="H284" s="54" t="n">
        <f aca="false">SUM('Ablesewerte Strom'!H268-'Ablesewerte Strom'!G268)</f>
        <v>1922.19999999995</v>
      </c>
      <c r="I284" s="54" t="n">
        <f aca="false">SUM('Ablesewerte Strom'!I268-'Ablesewerte Strom'!H268)</f>
        <v>1340.70000000001</v>
      </c>
      <c r="J284" s="54" t="n">
        <f aca="false">SUM('Ablesewerte Strom'!J268-'Ablesewerte Strom'!I268)</f>
        <v>1642.5</v>
      </c>
      <c r="K284" s="54" t="n">
        <f aca="false">SUM('Ablesewerte Strom'!K268-'Ablesewerte Strom'!J268)</f>
        <v>1130.60000000004</v>
      </c>
      <c r="L284" s="54" t="n">
        <f aca="false">SUM('Ablesewerte Strom'!L268-'Ablesewerte Strom'!K268)</f>
        <v>2292.89999999997</v>
      </c>
      <c r="M284" s="54" t="n">
        <f aca="false">SUM('Ablesewerte Strom'!M268-'Ablesewerte Strom'!L268)</f>
        <v>3913.70000000001</v>
      </c>
      <c r="N284" s="54" t="n">
        <f aca="false">SUM('Ablesewerte Strom'!N268-'Ablesewerte Strom'!M268)</f>
        <v>4178</v>
      </c>
      <c r="O284" s="54" t="n">
        <f aca="false">SUM('Ablesewerte Strom'!O268-'Ablesewerte Strom'!N268)</f>
        <v>2582.09999999998</v>
      </c>
      <c r="P284" s="54" t="n">
        <f aca="false">SUM(D284:O284)</f>
        <v>31488</v>
      </c>
      <c r="Q284" s="1" t="s">
        <v>54</v>
      </c>
      <c r="R284" s="81" t="n">
        <f aca="false">SUM(Q273:Q283)</f>
        <v>49752.7</v>
      </c>
    </row>
    <row r="285" customFormat="false" ht="12.75" hidden="false" customHeight="false" outlineLevel="0" collapsed="false">
      <c r="A285" s="82" t="s">
        <v>41</v>
      </c>
      <c r="B285" s="23"/>
      <c r="C285" s="24"/>
      <c r="D285" s="54" t="n">
        <f aca="false">SUM('Ablesewerte Strom'!D269-'Ablesewerte Strom'!C269)</f>
        <v>34326.53</v>
      </c>
      <c r="E285" s="54" t="n">
        <f aca="false">SUM('Ablesewerte Strom'!E269-'Ablesewerte Strom'!D269)</f>
        <v>21937.46</v>
      </c>
      <c r="F285" s="54" t="n">
        <f aca="false">SUM('Ablesewerte Strom'!F269-'Ablesewerte Strom'!E269)</f>
        <v>24467.83</v>
      </c>
      <c r="G285" s="54" t="n">
        <f aca="false">SUM('Ablesewerte Strom'!G269-'Ablesewerte Strom'!F269)</f>
        <v>12015.23</v>
      </c>
      <c r="H285" s="54" t="n">
        <f aca="false">SUM('Ablesewerte Strom'!H269-'Ablesewerte Strom'!G269)</f>
        <v>9034.98999999999</v>
      </c>
      <c r="I285" s="54" t="n">
        <f aca="false">SUM('Ablesewerte Strom'!I269-'Ablesewerte Strom'!H269)</f>
        <v>2885.16999999998</v>
      </c>
      <c r="J285" s="54" t="n">
        <f aca="false">SUM('Ablesewerte Strom'!J269-'Ablesewerte Strom'!I269)</f>
        <v>4828.17999999999</v>
      </c>
      <c r="K285" s="54" t="n">
        <f aca="false">SUM('Ablesewerte Strom'!K269-'Ablesewerte Strom'!J269)</f>
        <v>6696.65000000002</v>
      </c>
      <c r="L285" s="54" t="n">
        <f aca="false">SUM('Ablesewerte Strom'!L269-'Ablesewerte Strom'!K269)</f>
        <v>5111.04999999999</v>
      </c>
      <c r="M285" s="54" t="n">
        <f aca="false">SUM('Ablesewerte Strom'!M269-'Ablesewerte Strom'!L269)</f>
        <v>8705.17999999999</v>
      </c>
      <c r="N285" s="54" t="n">
        <f aca="false">SUM('Ablesewerte Strom'!N269-'Ablesewerte Strom'!M269)</f>
        <v>8897.38000000001</v>
      </c>
      <c r="O285" s="54" t="n">
        <f aca="false">SUM('Ablesewerte Strom'!O269-'Ablesewerte Strom'!N269)</f>
        <v>13787.2</v>
      </c>
      <c r="P285" s="23"/>
      <c r="Q285" s="23"/>
      <c r="R285" s="23"/>
    </row>
    <row r="286" customFormat="false" ht="13.8" hidden="false" customHeight="false" outlineLevel="0" collapsed="false">
      <c r="A286" s="83" t="s">
        <v>42</v>
      </c>
      <c r="B286" s="23"/>
      <c r="C286" s="24"/>
      <c r="D286" s="54" t="n">
        <f aca="false">SUM('Ablesewerte Strom'!D270-'Ablesewerte Strom'!C270)</f>
        <v>112.9</v>
      </c>
      <c r="E286" s="54" t="n">
        <f aca="false">SUM('Ablesewerte Strom'!E270-'Ablesewerte Strom'!D270)</f>
        <v>57.3999999999996</v>
      </c>
      <c r="F286" s="54" t="n">
        <f aca="false">SUM('Ablesewerte Strom'!F270-'Ablesewerte Strom'!E270)</f>
        <v>67</v>
      </c>
      <c r="G286" s="54" t="n">
        <f aca="false">SUM('Ablesewerte Strom'!G270-'Ablesewerte Strom'!F270)</f>
        <v>36</v>
      </c>
      <c r="H286" s="54" t="n">
        <f aca="false">SUM('Ablesewerte Strom'!H270-'Ablesewerte Strom'!G270)</f>
        <v>21.7000000000007</v>
      </c>
      <c r="I286" s="54" t="n">
        <f aca="false">SUM('Ablesewerte Strom'!I270-'Ablesewerte Strom'!H270)</f>
        <v>8.29999999999927</v>
      </c>
      <c r="J286" s="54" t="n">
        <f aca="false">SUM('Ablesewerte Strom'!J270-'Ablesewerte Strom'!I270)</f>
        <v>10.1000000000004</v>
      </c>
      <c r="K286" s="54" t="n">
        <f aca="false">SUM('Ablesewerte Strom'!K270-'Ablesewerte Strom'!J270)</f>
        <v>21.3000000000002</v>
      </c>
      <c r="L286" s="54" t="n">
        <f aca="false">SUM('Ablesewerte Strom'!L270-'Ablesewerte Strom'!K270)</f>
        <v>9.89999999999964</v>
      </c>
      <c r="M286" s="54" t="n">
        <f aca="false">SUM('Ablesewerte Strom'!M270-'Ablesewerte Strom'!L270)</f>
        <v>8.90000000000055</v>
      </c>
      <c r="N286" s="54" t="n">
        <f aca="false">SUM('Ablesewerte Strom'!N270-'Ablesewerte Strom'!M270)</f>
        <v>13.7999999999993</v>
      </c>
      <c r="O286" s="54" t="n">
        <f aca="false">SUM('Ablesewerte Strom'!O270-'Ablesewerte Strom'!N270)</f>
        <v>14.1000000000004</v>
      </c>
      <c r="P286" s="23"/>
      <c r="Q286" s="23"/>
      <c r="R286" s="23"/>
    </row>
    <row r="287" customFormat="false" ht="12.75" hidden="false" customHeight="false" outlineLevel="0" collapsed="false">
      <c r="A287" s="82" t="s">
        <v>43</v>
      </c>
      <c r="B287" s="23"/>
      <c r="C287" s="23"/>
      <c r="D287" s="54" t="n">
        <f aca="false">SUM('Ablesewerte Strom'!D271-'Ablesewerte Strom'!C271)</f>
        <v>1085</v>
      </c>
      <c r="E287" s="54" t="n">
        <f aca="false">SUM('Ablesewerte Strom'!E271-'Ablesewerte Strom'!D271)</f>
        <v>1135</v>
      </c>
      <c r="F287" s="54" t="n">
        <f aca="false">SUM('Ablesewerte Strom'!F271-'Ablesewerte Strom'!E271)</f>
        <v>2336</v>
      </c>
      <c r="G287" s="54" t="n">
        <f aca="false">SUM('Ablesewerte Strom'!G271-'Ablesewerte Strom'!F271)</f>
        <v>3654</v>
      </c>
      <c r="H287" s="54" t="n">
        <f aca="false">SUM('Ablesewerte Strom'!H271-'Ablesewerte Strom'!G271)</f>
        <v>3342</v>
      </c>
      <c r="I287" s="54" t="n">
        <f aca="false">SUM('Ablesewerte Strom'!I271-'Ablesewerte Strom'!H271)</f>
        <v>3511</v>
      </c>
      <c r="J287" s="54" t="n">
        <f aca="false">SUM('Ablesewerte Strom'!J271-'Ablesewerte Strom'!I271)</f>
        <v>3116</v>
      </c>
      <c r="K287" s="54" t="n">
        <f aca="false">SUM('Ablesewerte Strom'!K271-'Ablesewerte Strom'!J271)</f>
        <v>3505</v>
      </c>
      <c r="L287" s="54" t="n">
        <f aca="false">SUM('Ablesewerte Strom'!L271-'Ablesewerte Strom'!K271)</f>
        <v>1853</v>
      </c>
      <c r="M287" s="54" t="n">
        <f aca="false">SUM('Ablesewerte Strom'!M271-'Ablesewerte Strom'!L271)</f>
        <v>1339</v>
      </c>
      <c r="N287" s="54" t="n">
        <f aca="false">SUM('Ablesewerte Strom'!N271-'Ablesewerte Strom'!M271)</f>
        <v>901</v>
      </c>
      <c r="O287" s="54" t="n">
        <f aca="false">SUM('Ablesewerte Strom'!O271-'Ablesewerte Strom'!N271)</f>
        <v>472</v>
      </c>
      <c r="P287" s="23"/>
      <c r="Q287" s="23"/>
      <c r="R287" s="23"/>
    </row>
    <row r="290" customFormat="false" ht="15" hidden="false" customHeight="false" outlineLevel="0" collapsed="false">
      <c r="A290" s="2" t="n">
        <v>2026</v>
      </c>
    </row>
    <row r="291" customFormat="false" ht="15" hidden="false" customHeight="false" outlineLevel="0" collapsed="false">
      <c r="A291" s="2" t="s">
        <v>23</v>
      </c>
      <c r="D291" s="79" t="s">
        <v>2</v>
      </c>
      <c r="E291" s="79" t="s">
        <v>3</v>
      </c>
      <c r="F291" s="79" t="s">
        <v>4</v>
      </c>
      <c r="G291" s="79" t="s">
        <v>5</v>
      </c>
      <c r="H291" s="79" t="s">
        <v>6</v>
      </c>
      <c r="I291" s="79" t="s">
        <v>7</v>
      </c>
      <c r="J291" s="79" t="s">
        <v>8</v>
      </c>
      <c r="K291" s="79" t="s">
        <v>9</v>
      </c>
      <c r="L291" s="79" t="s">
        <v>10</v>
      </c>
      <c r="M291" s="79" t="s">
        <v>11</v>
      </c>
      <c r="N291" s="79" t="s">
        <v>12</v>
      </c>
      <c r="O291" s="79" t="s">
        <v>13</v>
      </c>
    </row>
    <row r="293" customFormat="false" ht="12.75" hidden="false" customHeight="false" outlineLevel="0" collapsed="false">
      <c r="A293" s="1" t="s">
        <v>27</v>
      </c>
      <c r="D293" s="54" t="n">
        <f aca="false">SUM('Ablesewerte Strom'!D278-'Ablesewerte Strom'!C278)</f>
        <v>4870</v>
      </c>
      <c r="E293" s="54" t="n">
        <f aca="false">SUM('Ablesewerte Strom'!E278-'Ablesewerte Strom'!D278)</f>
        <v>-75163</v>
      </c>
      <c r="F293" s="54" t="n">
        <f aca="false">SUM('Ablesewerte Strom'!F278-'Ablesewerte Strom'!E278)</f>
        <v>0</v>
      </c>
      <c r="G293" s="54" t="n">
        <f aca="false">SUM('Ablesewerte Strom'!G278-'Ablesewerte Strom'!F278)</f>
        <v>0</v>
      </c>
      <c r="H293" s="54" t="n">
        <f aca="false">SUM('Ablesewerte Strom'!H278-'Ablesewerte Strom'!G278)</f>
        <v>0</v>
      </c>
      <c r="I293" s="54" t="n">
        <f aca="false">SUM('Ablesewerte Strom'!I278-'Ablesewerte Strom'!H278)</f>
        <v>0</v>
      </c>
      <c r="J293" s="54" t="n">
        <f aca="false">SUM('Ablesewerte Strom'!J278-'Ablesewerte Strom'!I278)</f>
        <v>0</v>
      </c>
      <c r="K293" s="54" t="n">
        <f aca="false">SUM('Ablesewerte Strom'!K278-'Ablesewerte Strom'!J278)</f>
        <v>0</v>
      </c>
      <c r="L293" s="54" t="n">
        <f aca="false">SUM('Ablesewerte Strom'!L278-'Ablesewerte Strom'!K278)</f>
        <v>0</v>
      </c>
      <c r="M293" s="54" t="n">
        <f aca="false">SUM('Ablesewerte Strom'!M278-'Ablesewerte Strom'!L278)</f>
        <v>0</v>
      </c>
      <c r="N293" s="54" t="n">
        <f aca="false">SUM('Ablesewerte Strom'!N278-'Ablesewerte Strom'!M278)</f>
        <v>0</v>
      </c>
      <c r="O293" s="54" t="n">
        <f aca="false">SUM('Ablesewerte Strom'!O278-'Ablesewerte Strom'!N278)</f>
        <v>0</v>
      </c>
      <c r="Q293" s="54" t="n">
        <f aca="false">SUM(D293:O293)</f>
        <v>-70293</v>
      </c>
    </row>
    <row r="294" customFormat="false" ht="12.75" hidden="false" customHeight="false" outlineLevel="0" collapsed="false">
      <c r="A294" s="1" t="s">
        <v>28</v>
      </c>
      <c r="D294" s="54" t="n">
        <f aca="false">SUM('Ablesewerte Strom'!D279-'Ablesewerte Strom'!C279)</f>
        <v>3525.80000000005</v>
      </c>
      <c r="E294" s="54" t="n">
        <f aca="false">SUM('Ablesewerte Strom'!E279-'Ablesewerte Strom'!D279)</f>
        <v>-455034.9</v>
      </c>
      <c r="F294" s="54" t="n">
        <f aca="false">SUM('Ablesewerte Strom'!F279-'Ablesewerte Strom'!E279)</f>
        <v>0</v>
      </c>
      <c r="G294" s="54" t="n">
        <f aca="false">SUM('Ablesewerte Strom'!G279-'Ablesewerte Strom'!F279)</f>
        <v>0</v>
      </c>
      <c r="H294" s="54" t="n">
        <f aca="false">SUM('Ablesewerte Strom'!H279-'Ablesewerte Strom'!G279)</f>
        <v>0</v>
      </c>
      <c r="I294" s="54" t="n">
        <f aca="false">SUM('Ablesewerte Strom'!I279-'Ablesewerte Strom'!H279)</f>
        <v>0</v>
      </c>
      <c r="J294" s="54" t="n">
        <f aca="false">SUM('Ablesewerte Strom'!J279-'Ablesewerte Strom'!I279)</f>
        <v>0</v>
      </c>
      <c r="K294" s="54" t="n">
        <f aca="false">SUM('Ablesewerte Strom'!K279-'Ablesewerte Strom'!J279)</f>
        <v>0</v>
      </c>
      <c r="L294" s="54" t="n">
        <f aca="false">SUM('Ablesewerte Strom'!L279-'Ablesewerte Strom'!K279)</f>
        <v>0</v>
      </c>
      <c r="M294" s="54" t="n">
        <f aca="false">SUM('Ablesewerte Strom'!M279-'Ablesewerte Strom'!L279)</f>
        <v>0</v>
      </c>
      <c r="N294" s="54" t="n">
        <f aca="false">SUM('Ablesewerte Strom'!N279-'Ablesewerte Strom'!M279)</f>
        <v>0</v>
      </c>
      <c r="O294" s="54" t="n">
        <f aca="false">SUM('Ablesewerte Strom'!O279-'Ablesewerte Strom'!N279)</f>
        <v>0</v>
      </c>
      <c r="Q294" s="54" t="n">
        <f aca="false">SUM(D294:O294)</f>
        <v>-451509.1</v>
      </c>
    </row>
    <row r="295" customFormat="false" ht="12.75" hidden="false" customHeight="false" outlineLevel="0" collapsed="false">
      <c r="A295" s="1" t="s">
        <v>29</v>
      </c>
      <c r="D295" s="54" t="n">
        <f aca="false">SUM('Ablesewerte Strom'!D280-'Ablesewerte Strom'!C280)</f>
        <v>0</v>
      </c>
      <c r="E295" s="54" t="n">
        <f aca="false">SUM('Ablesewerte Strom'!E280-'Ablesewerte Strom'!D280)</f>
        <v>0</v>
      </c>
      <c r="F295" s="54" t="n">
        <f aca="false">SUM('Ablesewerte Strom'!F280-'Ablesewerte Strom'!E280)</f>
        <v>0</v>
      </c>
      <c r="G295" s="54" t="n">
        <f aca="false">SUM('Ablesewerte Strom'!G280-'Ablesewerte Strom'!F280)</f>
        <v>0</v>
      </c>
      <c r="H295" s="54" t="n">
        <f aca="false">SUM('Ablesewerte Strom'!H280-'Ablesewerte Strom'!G280)</f>
        <v>0</v>
      </c>
      <c r="I295" s="54" t="n">
        <f aca="false">SUM('Ablesewerte Strom'!I280-'Ablesewerte Strom'!H280)</f>
        <v>0</v>
      </c>
      <c r="J295" s="54" t="n">
        <f aca="false">SUM('Ablesewerte Strom'!J280-'Ablesewerte Strom'!I280)</f>
        <v>0</v>
      </c>
      <c r="K295" s="54" t="n">
        <f aca="false">SUM('Ablesewerte Strom'!K280-'Ablesewerte Strom'!J280)</f>
        <v>0</v>
      </c>
      <c r="L295" s="54" t="n">
        <f aca="false">SUM('Ablesewerte Strom'!L280-'Ablesewerte Strom'!K280)</f>
        <v>0</v>
      </c>
      <c r="M295" s="54" t="n">
        <f aca="false">SUM('Ablesewerte Strom'!M280-'Ablesewerte Strom'!L280)</f>
        <v>0</v>
      </c>
      <c r="N295" s="54" t="n">
        <f aca="false">SUM('Ablesewerte Strom'!N280-'Ablesewerte Strom'!M280)</f>
        <v>0</v>
      </c>
      <c r="O295" s="54" t="n">
        <f aca="false">SUM('Ablesewerte Strom'!O280-'Ablesewerte Strom'!N280)</f>
        <v>0</v>
      </c>
      <c r="Q295" s="54" t="n">
        <f aca="false">SUM(D295:P295)</f>
        <v>0</v>
      </c>
    </row>
    <row r="296" customFormat="false" ht="12.75" hidden="false" customHeight="false" outlineLevel="0" collapsed="false">
      <c r="A296" s="1" t="s">
        <v>30</v>
      </c>
      <c r="D296" s="54" t="n">
        <f aca="false">SUM('Ablesewerte Strom'!D281-'Ablesewerte Strom'!C281)</f>
        <v>63</v>
      </c>
      <c r="E296" s="54" t="n">
        <f aca="false">SUM('Ablesewerte Strom'!E281-'Ablesewerte Strom'!D281)</f>
        <v>-2611</v>
      </c>
      <c r="F296" s="54" t="n">
        <f aca="false">SUM('Ablesewerte Strom'!F281-'Ablesewerte Strom'!E281)</f>
        <v>0</v>
      </c>
      <c r="G296" s="54" t="n">
        <f aca="false">SUM('Ablesewerte Strom'!G281-'Ablesewerte Strom'!F281)</f>
        <v>0</v>
      </c>
      <c r="H296" s="54" t="n">
        <f aca="false">SUM('Ablesewerte Strom'!H281-'Ablesewerte Strom'!G281)</f>
        <v>0</v>
      </c>
      <c r="I296" s="54" t="n">
        <f aca="false">SUM('Ablesewerte Strom'!I281-'Ablesewerte Strom'!H281)</f>
        <v>0</v>
      </c>
      <c r="J296" s="54" t="n">
        <f aca="false">SUM('Ablesewerte Strom'!J281-'Ablesewerte Strom'!I281)</f>
        <v>0</v>
      </c>
      <c r="K296" s="54" t="n">
        <f aca="false">SUM('Ablesewerte Strom'!K281-'Ablesewerte Strom'!J281)</f>
        <v>0</v>
      </c>
      <c r="L296" s="54" t="n">
        <f aca="false">SUM('Ablesewerte Strom'!L281-'Ablesewerte Strom'!K281)</f>
        <v>0</v>
      </c>
      <c r="M296" s="54" t="n">
        <f aca="false">SUM('Ablesewerte Strom'!M281-'Ablesewerte Strom'!L281)</f>
        <v>0</v>
      </c>
      <c r="N296" s="54" t="n">
        <f aca="false">SUM('Ablesewerte Strom'!N281-'Ablesewerte Strom'!M281)</f>
        <v>0</v>
      </c>
      <c r="O296" s="54" t="n">
        <f aca="false">SUM('Ablesewerte Strom'!O281-'Ablesewerte Strom'!N281)</f>
        <v>0</v>
      </c>
      <c r="Q296" s="54" t="n">
        <f aca="false">SUM(D296:P296)</f>
        <v>-2548</v>
      </c>
    </row>
    <row r="297" customFormat="false" ht="12.75" hidden="false" customHeight="false" outlineLevel="0" collapsed="false">
      <c r="A297" s="1" t="s">
        <v>31</v>
      </c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</row>
    <row r="298" customFormat="false" ht="12.75" hidden="false" customHeight="false" outlineLevel="0" collapsed="false"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Q298" s="54" t="n">
        <f aca="false">SUM(D297:O298)</f>
        <v>0</v>
      </c>
    </row>
    <row r="299" customFormat="false" ht="12.75" hidden="false" customHeight="false" outlineLevel="0" collapsed="false">
      <c r="A299" s="1" t="s">
        <v>48</v>
      </c>
      <c r="D299" s="54" t="n">
        <f aca="false">SUM('Ablesewerte Strom'!D283-'Ablesewerte Strom'!C283)</f>
        <v>4406.20000000001</v>
      </c>
      <c r="E299" s="54" t="n">
        <f aca="false">SUM('Ablesewerte Strom'!E283-'Ablesewerte Strom'!D283)</f>
        <v>-121310.1</v>
      </c>
      <c r="F299" s="54" t="n">
        <f aca="false">SUM('Ablesewerte Strom'!F283-'Ablesewerte Strom'!E283)</f>
        <v>0</v>
      </c>
      <c r="G299" s="54" t="n">
        <f aca="false">SUM('Ablesewerte Strom'!G283-'Ablesewerte Strom'!F283)</f>
        <v>0</v>
      </c>
      <c r="H299" s="54" t="n">
        <f aca="false">SUM('Ablesewerte Strom'!H283-'Ablesewerte Strom'!G283)</f>
        <v>0</v>
      </c>
      <c r="I299" s="54" t="n">
        <f aca="false">SUM('Ablesewerte Strom'!I283-'Ablesewerte Strom'!H283)</f>
        <v>0</v>
      </c>
      <c r="J299" s="54" t="n">
        <f aca="false">SUM('Ablesewerte Strom'!J283-'Ablesewerte Strom'!I283)</f>
        <v>0</v>
      </c>
      <c r="K299" s="54" t="n">
        <f aca="false">SUM('Ablesewerte Strom'!K283-'Ablesewerte Strom'!J283)</f>
        <v>0</v>
      </c>
      <c r="L299" s="54" t="n">
        <f aca="false">SUM('Ablesewerte Strom'!L283-'Ablesewerte Strom'!K283)</f>
        <v>0</v>
      </c>
      <c r="M299" s="54" t="n">
        <f aca="false">SUM('Ablesewerte Strom'!M283-'Ablesewerte Strom'!L283)</f>
        <v>0</v>
      </c>
      <c r="N299" s="54" t="n">
        <f aca="false">SUM('Ablesewerte Strom'!N283-'Ablesewerte Strom'!M283)</f>
        <v>0</v>
      </c>
      <c r="O299" s="54" t="n">
        <f aca="false">SUM('Ablesewerte Strom'!O283-'Ablesewerte Strom'!N283)</f>
        <v>0</v>
      </c>
      <c r="P299" s="54" t="n">
        <f aca="false">SUM(D299:O299)</f>
        <v>-116903.9</v>
      </c>
    </row>
    <row r="300" customFormat="false" ht="12.75" hidden="false" customHeight="false" outlineLevel="0" collapsed="false">
      <c r="A300" s="1" t="s">
        <v>49</v>
      </c>
      <c r="D300" s="54" t="n">
        <f aca="false">SUM('Ablesewerte Strom'!D284-'Ablesewerte Strom'!C284)</f>
        <v>3510.39999999999</v>
      </c>
      <c r="E300" s="54" t="n">
        <f aca="false">SUM('Ablesewerte Strom'!E284-'Ablesewerte Strom'!D284)</f>
        <v>-73171</v>
      </c>
      <c r="F300" s="54" t="n">
        <f aca="false">SUM('Ablesewerte Strom'!F284-'Ablesewerte Strom'!E284)</f>
        <v>0</v>
      </c>
      <c r="G300" s="54" t="n">
        <f aca="false">SUM('Ablesewerte Strom'!G284-'Ablesewerte Strom'!F284)</f>
        <v>0</v>
      </c>
      <c r="H300" s="54" t="n">
        <f aca="false">SUM('Ablesewerte Strom'!H284-'Ablesewerte Strom'!G284)</f>
        <v>0</v>
      </c>
      <c r="I300" s="54" t="n">
        <f aca="false">SUM('Ablesewerte Strom'!I284-'Ablesewerte Strom'!H284)</f>
        <v>0</v>
      </c>
      <c r="J300" s="54" t="n">
        <f aca="false">SUM('Ablesewerte Strom'!J284-'Ablesewerte Strom'!I284)</f>
        <v>0</v>
      </c>
      <c r="K300" s="54" t="n">
        <f aca="false">SUM('Ablesewerte Strom'!K284-'Ablesewerte Strom'!J284)</f>
        <v>0</v>
      </c>
      <c r="L300" s="54" t="n">
        <f aca="false">SUM('Ablesewerte Strom'!L284-'Ablesewerte Strom'!K284)</f>
        <v>0</v>
      </c>
      <c r="M300" s="54" t="n">
        <f aca="false">SUM('Ablesewerte Strom'!M284-'Ablesewerte Strom'!L284)</f>
        <v>0</v>
      </c>
      <c r="N300" s="54" t="n">
        <f aca="false">SUM('Ablesewerte Strom'!N284-'Ablesewerte Strom'!M284)</f>
        <v>0</v>
      </c>
      <c r="O300" s="54" t="n">
        <f aca="false">SUM('Ablesewerte Strom'!O284-'Ablesewerte Strom'!N284)</f>
        <v>0</v>
      </c>
      <c r="P300" s="54" t="n">
        <f aca="false">SUM(D300:O300)</f>
        <v>-69660.6</v>
      </c>
    </row>
    <row r="301" customFormat="false" ht="12.75" hidden="false" customHeight="false" outlineLevel="0" collapsed="false">
      <c r="A301" s="1" t="s">
        <v>50</v>
      </c>
      <c r="D301" s="54" t="n">
        <f aca="false">SUM('Ablesewerte Strom'!D285-'Ablesewerte Strom'!C285)</f>
        <v>1576.2</v>
      </c>
      <c r="E301" s="54" t="n">
        <f aca="false">SUM('Ablesewerte Strom'!E285-'Ablesewerte Strom'!D285)</f>
        <v>-112870.2</v>
      </c>
      <c r="F301" s="54" t="n">
        <f aca="false">SUM('Ablesewerte Strom'!F285-'Ablesewerte Strom'!E285)</f>
        <v>0</v>
      </c>
      <c r="G301" s="54" t="n">
        <f aca="false">SUM('Ablesewerte Strom'!G285-'Ablesewerte Strom'!F285)</f>
        <v>0</v>
      </c>
      <c r="H301" s="54" t="n">
        <f aca="false">SUM('Ablesewerte Strom'!H285-'Ablesewerte Strom'!G285)</f>
        <v>0</v>
      </c>
      <c r="I301" s="54" t="n">
        <f aca="false">SUM('Ablesewerte Strom'!I285-'Ablesewerte Strom'!H285)</f>
        <v>0</v>
      </c>
      <c r="J301" s="54" t="n">
        <f aca="false">SUM('Ablesewerte Strom'!J285-'Ablesewerte Strom'!I285)</f>
        <v>0</v>
      </c>
      <c r="K301" s="54" t="n">
        <f aca="false">SUM('Ablesewerte Strom'!K285-'Ablesewerte Strom'!J285)</f>
        <v>0</v>
      </c>
      <c r="L301" s="54" t="n">
        <f aca="false">SUM('Ablesewerte Strom'!L285-'Ablesewerte Strom'!K285)</f>
        <v>0</v>
      </c>
      <c r="M301" s="54" t="n">
        <f aca="false">SUM('Ablesewerte Strom'!M285-'Ablesewerte Strom'!L285)</f>
        <v>0</v>
      </c>
      <c r="N301" s="54" t="n">
        <f aca="false">SUM('Ablesewerte Strom'!N285-'Ablesewerte Strom'!M285)</f>
        <v>0</v>
      </c>
      <c r="O301" s="54" t="n">
        <f aca="false">SUM('Ablesewerte Strom'!O285-'Ablesewerte Strom'!N285)</f>
        <v>0</v>
      </c>
      <c r="P301" s="54" t="n">
        <f aca="false">SUM(D301:O301)</f>
        <v>-111294</v>
      </c>
    </row>
    <row r="302" customFormat="false" ht="12.75" hidden="false" customHeight="false" outlineLevel="0" collapsed="false">
      <c r="A302" s="1" t="s">
        <v>39</v>
      </c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</row>
    <row r="303" customFormat="false" ht="12.75" hidden="false" customHeight="false" outlineLevel="0" collapsed="false"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Q303" s="54" t="n">
        <f aca="false">SUM(D302:O303)</f>
        <v>0</v>
      </c>
    </row>
    <row r="304" customFormat="false" ht="12.75" hidden="false" customHeight="false" outlineLevel="0" collapsed="false">
      <c r="A304" s="1" t="s">
        <v>53</v>
      </c>
      <c r="D304" s="54" t="n">
        <f aca="false">SUM('Ablesewerte Strom'!D287-'Ablesewerte Strom'!C287)</f>
        <v>5302.30000000005</v>
      </c>
      <c r="E304" s="54" t="n">
        <f aca="false">SUM('Ablesewerte Strom'!E287-'Ablesewerte Strom'!D287)</f>
        <v>-352321.4</v>
      </c>
      <c r="F304" s="54" t="n">
        <f aca="false">SUM('Ablesewerte Strom'!F287-'Ablesewerte Strom'!E287)</f>
        <v>0</v>
      </c>
      <c r="G304" s="54" t="n">
        <f aca="false">SUM('Ablesewerte Strom'!G287-'Ablesewerte Strom'!F287)</f>
        <v>0</v>
      </c>
      <c r="H304" s="54" t="n">
        <f aca="false">SUM('Ablesewerte Strom'!H287-'Ablesewerte Strom'!G287)</f>
        <v>0</v>
      </c>
      <c r="I304" s="54" t="n">
        <f aca="false">SUM('Ablesewerte Strom'!I287-'Ablesewerte Strom'!H287)</f>
        <v>0</v>
      </c>
      <c r="J304" s="54" t="n">
        <f aca="false">SUM('Ablesewerte Strom'!J287-'Ablesewerte Strom'!I287)</f>
        <v>0</v>
      </c>
      <c r="K304" s="54" t="n">
        <f aca="false">SUM('Ablesewerte Strom'!K287-'Ablesewerte Strom'!J287)</f>
        <v>0</v>
      </c>
      <c r="L304" s="54" t="n">
        <f aca="false">SUM('Ablesewerte Strom'!L287-'Ablesewerte Strom'!K287)</f>
        <v>0</v>
      </c>
      <c r="M304" s="54" t="n">
        <f aca="false">SUM('Ablesewerte Strom'!M287-'Ablesewerte Strom'!L287)</f>
        <v>0</v>
      </c>
      <c r="N304" s="54" t="n">
        <f aca="false">SUM('Ablesewerte Strom'!N287-'Ablesewerte Strom'!M287)</f>
        <v>0</v>
      </c>
      <c r="O304" s="54" t="n">
        <f aca="false">SUM('Ablesewerte Strom'!O287-'Ablesewerte Strom'!N287)</f>
        <v>0</v>
      </c>
      <c r="P304" s="54" t="n">
        <f aca="false">SUM(D304:O304)</f>
        <v>-347019.1</v>
      </c>
      <c r="Q304" s="1" t="s">
        <v>54</v>
      </c>
      <c r="R304" s="81" t="n">
        <f aca="false">SUM(Q293:Q303)</f>
        <v>-524350.1</v>
      </c>
    </row>
    <row r="305" customFormat="false" ht="12.75" hidden="false" customHeight="false" outlineLevel="0" collapsed="false">
      <c r="A305" s="82" t="s">
        <v>41</v>
      </c>
      <c r="B305" s="23"/>
      <c r="C305" s="24"/>
      <c r="D305" s="54" t="n">
        <f aca="false">SUM('Ablesewerte Strom'!D288-'Ablesewerte Strom'!C288)</f>
        <v>39866.9900000001</v>
      </c>
      <c r="E305" s="54" t="n">
        <f aca="false">SUM('Ablesewerte Strom'!E288-'Ablesewerte Strom'!D288)</f>
        <v>-536578.8</v>
      </c>
      <c r="F305" s="54" t="n">
        <f aca="false">SUM('Ablesewerte Strom'!F288-'Ablesewerte Strom'!E288)</f>
        <v>0</v>
      </c>
      <c r="G305" s="54" t="n">
        <f aca="false">SUM('Ablesewerte Strom'!G288-'Ablesewerte Strom'!F288)</f>
        <v>0</v>
      </c>
      <c r="H305" s="54" t="n">
        <f aca="false">SUM('Ablesewerte Strom'!H288-'Ablesewerte Strom'!G288)</f>
        <v>0</v>
      </c>
      <c r="I305" s="54" t="n">
        <f aca="false">SUM('Ablesewerte Strom'!I288-'Ablesewerte Strom'!H288)</f>
        <v>0</v>
      </c>
      <c r="J305" s="54" t="n">
        <f aca="false">SUM('Ablesewerte Strom'!J288-'Ablesewerte Strom'!I288)</f>
        <v>0</v>
      </c>
      <c r="K305" s="54" t="n">
        <f aca="false">SUM('Ablesewerte Strom'!K288-'Ablesewerte Strom'!J288)</f>
        <v>0</v>
      </c>
      <c r="L305" s="54" t="n">
        <f aca="false">SUM('Ablesewerte Strom'!L288-'Ablesewerte Strom'!K288)</f>
        <v>0</v>
      </c>
      <c r="M305" s="54" t="n">
        <f aca="false">SUM('Ablesewerte Strom'!M288-'Ablesewerte Strom'!L288)</f>
        <v>0</v>
      </c>
      <c r="N305" s="54" t="n">
        <f aca="false">SUM('Ablesewerte Strom'!N288-'Ablesewerte Strom'!M288)</f>
        <v>0</v>
      </c>
      <c r="O305" s="54" t="n">
        <f aca="false">SUM('Ablesewerte Strom'!O288-'Ablesewerte Strom'!N288)</f>
        <v>0</v>
      </c>
      <c r="P305" s="23"/>
      <c r="Q305" s="23"/>
      <c r="R305" s="23"/>
    </row>
    <row r="306" customFormat="false" ht="13.8" hidden="false" customHeight="false" outlineLevel="0" collapsed="false">
      <c r="A306" s="83" t="s">
        <v>42</v>
      </c>
      <c r="B306" s="23"/>
      <c r="C306" s="24"/>
      <c r="D306" s="54" t="n">
        <f aca="false">SUM('Ablesewerte Strom'!D289-'Ablesewerte Strom'!C289)</f>
        <v>129.8</v>
      </c>
      <c r="E306" s="54" t="n">
        <f aca="false">SUM('Ablesewerte Strom'!E289-'Ablesewerte Strom'!D289)</f>
        <v>-143.9</v>
      </c>
      <c r="F306" s="54" t="n">
        <f aca="false">SUM('Ablesewerte Strom'!F289-'Ablesewerte Strom'!E289)</f>
        <v>0</v>
      </c>
      <c r="G306" s="54" t="n">
        <f aca="false">SUM('Ablesewerte Strom'!G289-'Ablesewerte Strom'!F289)</f>
        <v>0</v>
      </c>
      <c r="H306" s="54" t="n">
        <f aca="false">SUM('Ablesewerte Strom'!H289-'Ablesewerte Strom'!G289)</f>
        <v>0</v>
      </c>
      <c r="I306" s="54" t="n">
        <f aca="false">SUM('Ablesewerte Strom'!I289-'Ablesewerte Strom'!H289)</f>
        <v>0</v>
      </c>
      <c r="J306" s="54" t="n">
        <f aca="false">SUM('Ablesewerte Strom'!J289-'Ablesewerte Strom'!I289)</f>
        <v>0</v>
      </c>
      <c r="K306" s="54" t="n">
        <f aca="false">SUM('Ablesewerte Strom'!K289-'Ablesewerte Strom'!J289)</f>
        <v>0</v>
      </c>
      <c r="L306" s="54" t="n">
        <f aca="false">SUM('Ablesewerte Strom'!L289-'Ablesewerte Strom'!K289)</f>
        <v>0</v>
      </c>
      <c r="M306" s="54" t="n">
        <f aca="false">SUM('Ablesewerte Strom'!M289-'Ablesewerte Strom'!L289)</f>
        <v>0</v>
      </c>
      <c r="N306" s="54" t="n">
        <f aca="false">SUM('Ablesewerte Strom'!N289-'Ablesewerte Strom'!M289)</f>
        <v>0</v>
      </c>
      <c r="O306" s="54" t="n">
        <f aca="false">SUM('Ablesewerte Strom'!O289-'Ablesewerte Strom'!N289)</f>
        <v>0</v>
      </c>
      <c r="P306" s="23"/>
      <c r="Q306" s="23"/>
      <c r="R306" s="23"/>
    </row>
    <row r="307" customFormat="false" ht="12.75" hidden="false" customHeight="false" outlineLevel="0" collapsed="false">
      <c r="A307" s="82" t="s">
        <v>43</v>
      </c>
      <c r="B307" s="23"/>
      <c r="C307" s="23"/>
      <c r="D307" s="54" t="n">
        <f aca="false">SUM('Ablesewerte Strom'!D290-'Ablesewerte Strom'!C290)</f>
        <v>1456</v>
      </c>
      <c r="E307" s="54" t="n">
        <f aca="false">SUM('Ablesewerte Strom'!E290-'Ablesewerte Strom'!D290)</f>
        <v>-154738</v>
      </c>
      <c r="F307" s="54" t="n">
        <f aca="false">SUM('Ablesewerte Strom'!F290-'Ablesewerte Strom'!E290)</f>
        <v>0</v>
      </c>
      <c r="G307" s="54" t="n">
        <f aca="false">SUM('Ablesewerte Strom'!G290-'Ablesewerte Strom'!F290)</f>
        <v>0</v>
      </c>
      <c r="H307" s="54" t="n">
        <f aca="false">SUM('Ablesewerte Strom'!H290-'Ablesewerte Strom'!G290)</f>
        <v>0</v>
      </c>
      <c r="I307" s="54" t="n">
        <f aca="false">SUM('Ablesewerte Strom'!I290-'Ablesewerte Strom'!H290)</f>
        <v>0</v>
      </c>
      <c r="J307" s="54" t="n">
        <f aca="false">SUM('Ablesewerte Strom'!J290-'Ablesewerte Strom'!I290)</f>
        <v>0</v>
      </c>
      <c r="K307" s="54" t="n">
        <f aca="false">SUM('Ablesewerte Strom'!K290-'Ablesewerte Strom'!J290)</f>
        <v>0</v>
      </c>
      <c r="L307" s="54" t="n">
        <f aca="false">SUM('Ablesewerte Strom'!L290-'Ablesewerte Strom'!K290)</f>
        <v>0</v>
      </c>
      <c r="M307" s="54" t="n">
        <f aca="false">SUM('Ablesewerte Strom'!M290-'Ablesewerte Strom'!L290)</f>
        <v>0</v>
      </c>
      <c r="N307" s="54" t="n">
        <f aca="false">SUM('Ablesewerte Strom'!N290-'Ablesewerte Strom'!M290)</f>
        <v>0</v>
      </c>
      <c r="O307" s="54" t="n">
        <f aca="false">SUM('Ablesewerte Strom'!O290-'Ablesewerte Strom'!N290)</f>
        <v>0</v>
      </c>
      <c r="P307" s="23"/>
      <c r="Q307" s="23"/>
      <c r="R307" s="23"/>
    </row>
  </sheetData>
  <printOptions headings="false" gridLines="false" gridLinesSet="true" horizontalCentered="false" verticalCentered="false"/>
  <pageMargins left="0.590277777777778" right="0.590277777777778" top="0.984027777777778" bottom="0.984027777777778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FF"/>
    <pageSetUpPr fitToPage="false"/>
  </sheetPr>
  <dimension ref="A3:S168"/>
  <sheetViews>
    <sheetView showFormulas="false" showGridLines="true" showRowColHeaders="true" showZeros="true" rightToLeft="false" tabSelected="false" showOutlineSymbols="true" defaultGridColor="true" view="normal" topLeftCell="A126" colorId="64" zoomScale="100" zoomScaleNormal="100" zoomScalePageLayoutView="100" workbookViewId="0">
      <selection pane="topLeft" activeCell="D168" activeCellId="1" sqref="L206:L207 D168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6.99"/>
    <col collapsed="false" customWidth="true" hidden="false" outlineLevel="0" max="2" min="2" style="1" width="7.28"/>
    <col collapsed="false" customWidth="true" hidden="false" outlineLevel="0" max="7" min="7" style="1" width="11.7"/>
    <col collapsed="false" customWidth="true" hidden="false" outlineLevel="0" max="9" min="9" style="1" width="11.7"/>
    <col collapsed="false" customWidth="true" hidden="false" outlineLevel="0" max="11" min="11" style="1" width="11.7"/>
  </cols>
  <sheetData>
    <row r="3" customFormat="false" ht="19.4" hidden="false" customHeight="false" outlineLevel="0" collapsed="false">
      <c r="A3" s="2" t="n">
        <v>2012</v>
      </c>
      <c r="B3" s="1" t="s">
        <v>1</v>
      </c>
      <c r="C3" s="84" t="s">
        <v>2</v>
      </c>
      <c r="D3" s="84" t="s">
        <v>3</v>
      </c>
      <c r="E3" s="84" t="s">
        <v>4</v>
      </c>
      <c r="F3" s="84" t="s">
        <v>5</v>
      </c>
      <c r="G3" s="84" t="s">
        <v>6</v>
      </c>
      <c r="H3" s="84" t="s">
        <v>7</v>
      </c>
      <c r="I3" s="84" t="s">
        <v>8</v>
      </c>
      <c r="J3" s="84" t="s">
        <v>9</v>
      </c>
      <c r="K3" s="84" t="s">
        <v>10</v>
      </c>
      <c r="L3" s="84" t="s">
        <v>11</v>
      </c>
      <c r="M3" s="84" t="s">
        <v>12</v>
      </c>
      <c r="N3" s="84" t="s">
        <v>13</v>
      </c>
      <c r="Q3" s="85" t="s">
        <v>56</v>
      </c>
      <c r="R3" s="86"/>
    </row>
    <row r="4" customFormat="false" ht="12.75" hidden="false" customHeight="false" outlineLevel="0" collapsed="false">
      <c r="C4" s="87" t="n">
        <v>40908</v>
      </c>
      <c r="D4" s="87" t="n">
        <v>40940</v>
      </c>
      <c r="E4" s="87" t="n">
        <v>40969</v>
      </c>
      <c r="F4" s="87" t="n">
        <v>41000</v>
      </c>
      <c r="G4" s="87" t="n">
        <v>41031</v>
      </c>
      <c r="H4" s="87" t="n">
        <v>41061</v>
      </c>
      <c r="I4" s="87" t="n">
        <v>41092</v>
      </c>
      <c r="J4" s="87" t="n">
        <v>41117</v>
      </c>
      <c r="K4" s="87" t="n">
        <v>41153</v>
      </c>
      <c r="L4" s="87" t="n">
        <v>41186</v>
      </c>
      <c r="M4" s="87" t="n">
        <v>41218</v>
      </c>
      <c r="N4" s="87" t="n">
        <v>41247</v>
      </c>
      <c r="O4" s="87" t="n">
        <v>41274</v>
      </c>
    </row>
    <row r="5" customFormat="false" ht="12.75" hidden="false" customHeight="false" outlineLevel="0" collapsed="false">
      <c r="D5" s="1" t="s">
        <v>47</v>
      </c>
      <c r="E5" s="1" t="s">
        <v>47</v>
      </c>
      <c r="F5" s="1" t="s">
        <v>47</v>
      </c>
      <c r="Q5" s="1" t="s">
        <v>47</v>
      </c>
    </row>
    <row r="6" customFormat="false" ht="12.75" hidden="false" customHeight="false" outlineLevel="0" collapsed="false">
      <c r="A6" s="1" t="s">
        <v>57</v>
      </c>
      <c r="C6" s="1" t="n">
        <v>5594</v>
      </c>
      <c r="D6" s="1" t="n">
        <v>5844</v>
      </c>
      <c r="E6" s="1" t="n">
        <v>6088</v>
      </c>
      <c r="F6" s="1" t="n">
        <v>6377</v>
      </c>
      <c r="G6" s="1" t="n">
        <v>6548</v>
      </c>
      <c r="H6" s="1" t="n">
        <v>6808</v>
      </c>
      <c r="I6" s="1" t="n">
        <v>7037</v>
      </c>
      <c r="J6" s="1" t="n">
        <v>7220</v>
      </c>
      <c r="K6" s="1" t="n">
        <v>7341</v>
      </c>
      <c r="L6" s="1" t="n">
        <v>7748</v>
      </c>
      <c r="M6" s="1" t="n">
        <v>8108</v>
      </c>
      <c r="N6" s="1" t="n">
        <v>8413</v>
      </c>
      <c r="O6" s="1" t="n">
        <v>8636</v>
      </c>
      <c r="Q6" s="1" t="n">
        <f aca="false">SUM(O6-C6)</f>
        <v>3042</v>
      </c>
    </row>
    <row r="7" customFormat="false" ht="12.75" hidden="false" customHeight="false" outlineLevel="0" collapsed="false">
      <c r="A7" s="1" t="s">
        <v>58</v>
      </c>
      <c r="C7" s="1" t="n">
        <v>1861</v>
      </c>
      <c r="D7" s="1" t="n">
        <v>1886</v>
      </c>
      <c r="E7" s="1" t="n">
        <v>1924</v>
      </c>
      <c r="F7" s="1" t="n">
        <v>1952</v>
      </c>
      <c r="G7" s="1" t="n">
        <v>1970</v>
      </c>
      <c r="H7" s="1" t="n">
        <v>1986</v>
      </c>
      <c r="I7" s="1" t="n">
        <v>2003</v>
      </c>
      <c r="J7" s="1" t="n">
        <v>2021</v>
      </c>
      <c r="K7" s="1" t="n">
        <v>2025</v>
      </c>
      <c r="L7" s="1" t="n">
        <v>2048</v>
      </c>
      <c r="M7" s="1" t="n">
        <v>2119</v>
      </c>
      <c r="N7" s="1" t="n">
        <v>2150</v>
      </c>
      <c r="O7" s="1" t="n">
        <v>2173</v>
      </c>
      <c r="Q7" s="1" t="n">
        <f aca="false">SUM(O7-C7)</f>
        <v>312</v>
      </c>
    </row>
    <row r="8" customFormat="false" ht="12.75" hidden="false" customHeight="false" outlineLevel="0" collapsed="false">
      <c r="A8" s="1" t="s">
        <v>19</v>
      </c>
      <c r="C8" s="23" t="n">
        <v>66</v>
      </c>
      <c r="D8" s="23" t="n">
        <v>74</v>
      </c>
      <c r="E8" s="1" t="n">
        <v>80</v>
      </c>
      <c r="F8" s="1" t="n">
        <v>86</v>
      </c>
      <c r="G8" s="1" t="n">
        <v>91</v>
      </c>
      <c r="H8" s="1" t="n">
        <v>98</v>
      </c>
      <c r="I8" s="1" t="n">
        <v>103</v>
      </c>
      <c r="J8" s="1" t="n">
        <v>107</v>
      </c>
      <c r="K8" s="1" t="n">
        <v>112</v>
      </c>
      <c r="L8" s="1" t="n">
        <v>118</v>
      </c>
      <c r="M8" s="1" t="n">
        <v>125</v>
      </c>
      <c r="N8" s="1" t="n">
        <v>130</v>
      </c>
      <c r="O8" s="1" t="n">
        <v>134</v>
      </c>
      <c r="Q8" s="1" t="n">
        <f aca="false">SUM(O8-C8)</f>
        <v>68</v>
      </c>
    </row>
    <row r="9" customFormat="false" ht="12.75" hidden="false" customHeight="false" outlineLevel="0" collapsed="false">
      <c r="A9" s="1" t="s">
        <v>18</v>
      </c>
      <c r="C9" s="88" t="n">
        <v>685</v>
      </c>
      <c r="D9" s="1" t="n">
        <v>708</v>
      </c>
      <c r="E9" s="1" t="n">
        <v>726</v>
      </c>
      <c r="F9" s="1" t="n">
        <v>750</v>
      </c>
      <c r="G9" s="88" t="n">
        <v>771</v>
      </c>
      <c r="H9" s="88" t="n">
        <v>792</v>
      </c>
      <c r="I9" s="88" t="n">
        <v>807</v>
      </c>
      <c r="J9" s="88" t="n">
        <v>819</v>
      </c>
      <c r="K9" s="88" t="n">
        <v>835</v>
      </c>
      <c r="L9" s="88" t="n">
        <v>850</v>
      </c>
      <c r="M9" s="88" t="n">
        <v>868</v>
      </c>
      <c r="N9" s="88" t="n">
        <v>881</v>
      </c>
      <c r="O9" s="88" t="n">
        <v>898</v>
      </c>
      <c r="P9" s="88"/>
      <c r="Q9" s="1" t="n">
        <f aca="false">SUM(O9-C9)</f>
        <v>213</v>
      </c>
      <c r="R9" s="1" t="s">
        <v>59</v>
      </c>
    </row>
    <row r="10" customFormat="false" ht="12.75" hidden="false" customHeight="false" outlineLevel="0" collapsed="false">
      <c r="G10" s="1" t="s">
        <v>47</v>
      </c>
      <c r="R10" s="1" t="n">
        <f aca="false">SUM(Q5:Q9)</f>
        <v>3635</v>
      </c>
      <c r="S10" s="1" t="s">
        <v>1</v>
      </c>
    </row>
    <row r="13" customFormat="false" ht="15" hidden="false" customHeight="false" outlineLevel="0" collapsed="false">
      <c r="A13" s="2" t="n">
        <v>2013</v>
      </c>
      <c r="B13" s="1" t="s">
        <v>1</v>
      </c>
      <c r="C13" s="84" t="s">
        <v>2</v>
      </c>
      <c r="D13" s="84" t="s">
        <v>3</v>
      </c>
      <c r="E13" s="84" t="s">
        <v>4</v>
      </c>
      <c r="F13" s="84" t="s">
        <v>5</v>
      </c>
      <c r="G13" s="84" t="s">
        <v>6</v>
      </c>
      <c r="H13" s="84" t="s">
        <v>7</v>
      </c>
      <c r="I13" s="84" t="s">
        <v>8</v>
      </c>
      <c r="J13" s="84" t="s">
        <v>9</v>
      </c>
      <c r="K13" s="84" t="s">
        <v>10</v>
      </c>
      <c r="L13" s="84" t="s">
        <v>11</v>
      </c>
      <c r="M13" s="84" t="s">
        <v>12</v>
      </c>
      <c r="N13" s="84" t="s">
        <v>13</v>
      </c>
    </row>
    <row r="14" customFormat="false" ht="12.75" hidden="false" customHeight="false" outlineLevel="0" collapsed="false">
      <c r="C14" s="87" t="n">
        <v>41639</v>
      </c>
      <c r="D14" s="87" t="n">
        <v>41306</v>
      </c>
      <c r="E14" s="87" t="n">
        <v>41334</v>
      </c>
      <c r="F14" s="87" t="n">
        <v>41366</v>
      </c>
      <c r="G14" s="87" t="n">
        <v>41397</v>
      </c>
      <c r="H14" s="87" t="n">
        <v>41429</v>
      </c>
      <c r="I14" s="87" t="n">
        <v>41456</v>
      </c>
      <c r="J14" s="87" t="n">
        <v>41487</v>
      </c>
      <c r="K14" s="87" t="n">
        <v>41518</v>
      </c>
      <c r="L14" s="87" t="n">
        <v>41548</v>
      </c>
      <c r="M14" s="87" t="n">
        <v>41582</v>
      </c>
      <c r="N14" s="87" t="n">
        <v>41610</v>
      </c>
      <c r="O14" s="87" t="n">
        <v>41639</v>
      </c>
    </row>
    <row r="15" customFormat="false" ht="12.75" hidden="false" customHeight="false" outlineLevel="0" collapsed="false">
      <c r="D15" s="1" t="s">
        <v>47</v>
      </c>
      <c r="E15" s="1" t="s">
        <v>47</v>
      </c>
      <c r="F15" s="1" t="s">
        <v>47</v>
      </c>
      <c r="Q15" s="1" t="s">
        <v>47</v>
      </c>
    </row>
    <row r="16" customFormat="false" ht="12.75" hidden="false" customHeight="false" outlineLevel="0" collapsed="false">
      <c r="A16" s="1" t="s">
        <v>57</v>
      </c>
      <c r="C16" s="54" t="n">
        <v>8636</v>
      </c>
      <c r="D16" s="54" t="n">
        <v>8884</v>
      </c>
      <c r="E16" s="54" t="n">
        <v>9103</v>
      </c>
      <c r="F16" s="54" t="n">
        <v>9322</v>
      </c>
      <c r="G16" s="54" t="n">
        <v>9599</v>
      </c>
      <c r="H16" s="54" t="n">
        <v>9747</v>
      </c>
      <c r="I16" s="54" t="n">
        <v>9998</v>
      </c>
      <c r="J16" s="54" t="n">
        <v>10466</v>
      </c>
      <c r="K16" s="54" t="n">
        <v>10733</v>
      </c>
      <c r="L16" s="54" t="n">
        <v>10943.09</v>
      </c>
      <c r="M16" s="54" t="n">
        <v>11185</v>
      </c>
      <c r="N16" s="54" t="n">
        <v>11442</v>
      </c>
      <c r="O16" s="54" t="n">
        <v>11665</v>
      </c>
      <c r="Q16" s="1" t="n">
        <f aca="false">SUM(O16-C16)</f>
        <v>3029</v>
      </c>
    </row>
    <row r="17" customFormat="false" ht="12.75" hidden="false" customHeight="false" outlineLevel="0" collapsed="false">
      <c r="A17" s="1" t="s">
        <v>58</v>
      </c>
      <c r="C17" s="54" t="n">
        <v>2173</v>
      </c>
      <c r="D17" s="54" t="n">
        <v>2202</v>
      </c>
      <c r="E17" s="54" t="n">
        <v>2221</v>
      </c>
      <c r="F17" s="54" t="n">
        <v>2247</v>
      </c>
      <c r="G17" s="54" t="n">
        <v>2271</v>
      </c>
      <c r="H17" s="54" t="n">
        <v>2280</v>
      </c>
      <c r="I17" s="54" t="n">
        <v>2298</v>
      </c>
      <c r="J17" s="54" t="n">
        <v>2313</v>
      </c>
      <c r="K17" s="54" t="n">
        <v>2315</v>
      </c>
      <c r="L17" s="54" t="n">
        <v>2331</v>
      </c>
      <c r="M17" s="54" t="n">
        <v>2356</v>
      </c>
      <c r="N17" s="54" t="n">
        <v>2387</v>
      </c>
      <c r="O17" s="54" t="n">
        <v>2416</v>
      </c>
      <c r="Q17" s="1" t="n">
        <f aca="false">SUM(O17-C17)</f>
        <v>243</v>
      </c>
    </row>
    <row r="18" customFormat="false" ht="12.75" hidden="false" customHeight="false" outlineLevel="0" collapsed="false">
      <c r="A18" s="1" t="s">
        <v>19</v>
      </c>
      <c r="C18" s="54" t="n">
        <v>134</v>
      </c>
      <c r="D18" s="24" t="n">
        <v>141</v>
      </c>
      <c r="E18" s="54" t="n">
        <v>146</v>
      </c>
      <c r="F18" s="54" t="n">
        <v>151</v>
      </c>
      <c r="G18" s="54" t="n">
        <v>158</v>
      </c>
      <c r="H18" s="54" t="n">
        <v>160</v>
      </c>
      <c r="I18" s="54" t="n">
        <v>167</v>
      </c>
      <c r="J18" s="54" t="n">
        <v>172</v>
      </c>
      <c r="K18" s="54" t="n">
        <v>174</v>
      </c>
      <c r="L18" s="54" t="n">
        <v>179</v>
      </c>
      <c r="M18" s="54" t="n">
        <v>184</v>
      </c>
      <c r="N18" s="54" t="n">
        <v>192</v>
      </c>
      <c r="O18" s="54" t="n">
        <v>197</v>
      </c>
      <c r="Q18" s="1" t="n">
        <f aca="false">SUM(O18-C18)</f>
        <v>63</v>
      </c>
    </row>
    <row r="19" customFormat="false" ht="12.75" hidden="false" customHeight="false" outlineLevel="0" collapsed="false">
      <c r="A19" s="1" t="s">
        <v>18</v>
      </c>
      <c r="C19" s="89" t="n">
        <v>898</v>
      </c>
      <c r="D19" s="54" t="n">
        <v>909</v>
      </c>
      <c r="E19" s="54" t="n">
        <v>922</v>
      </c>
      <c r="F19" s="54" t="n">
        <v>937</v>
      </c>
      <c r="G19" s="89" t="n">
        <v>951</v>
      </c>
      <c r="H19" s="89" t="n">
        <v>961</v>
      </c>
      <c r="I19" s="89" t="n">
        <v>974</v>
      </c>
      <c r="J19" s="89" t="n">
        <v>994</v>
      </c>
      <c r="K19" s="89" t="n">
        <v>1004</v>
      </c>
      <c r="L19" s="89" t="n">
        <v>1018</v>
      </c>
      <c r="M19" s="89" t="n">
        <v>1034</v>
      </c>
      <c r="N19" s="89" t="n">
        <v>1046</v>
      </c>
      <c r="O19" s="89" t="n">
        <v>1065</v>
      </c>
      <c r="P19" s="88"/>
      <c r="Q19" s="1" t="n">
        <f aca="false">SUM(O19-C19)</f>
        <v>167</v>
      </c>
      <c r="R19" s="1" t="s">
        <v>59</v>
      </c>
    </row>
    <row r="20" customFormat="false" ht="12.75" hidden="false" customHeight="false" outlineLevel="0" collapsed="false">
      <c r="G20" s="1" t="s">
        <v>47</v>
      </c>
      <c r="R20" s="1" t="n">
        <f aca="false">SUM(Q15:Q19)</f>
        <v>3502</v>
      </c>
      <c r="S20" s="1" t="s">
        <v>1</v>
      </c>
    </row>
    <row r="25" customFormat="false" ht="15" hidden="false" customHeight="false" outlineLevel="0" collapsed="false">
      <c r="A25" s="2" t="n">
        <v>2014</v>
      </c>
      <c r="B25" s="1" t="s">
        <v>1</v>
      </c>
      <c r="C25" s="84" t="s">
        <v>2</v>
      </c>
      <c r="D25" s="84" t="s">
        <v>3</v>
      </c>
      <c r="E25" s="84" t="s">
        <v>4</v>
      </c>
      <c r="F25" s="84" t="s">
        <v>5</v>
      </c>
      <c r="G25" s="84" t="s">
        <v>6</v>
      </c>
      <c r="H25" s="84" t="s">
        <v>7</v>
      </c>
      <c r="I25" s="84" t="s">
        <v>8</v>
      </c>
      <c r="J25" s="84" t="s">
        <v>9</v>
      </c>
      <c r="K25" s="84" t="s">
        <v>10</v>
      </c>
      <c r="L25" s="84" t="s">
        <v>11</v>
      </c>
      <c r="M25" s="84" t="s">
        <v>12</v>
      </c>
      <c r="N25" s="84" t="s">
        <v>13</v>
      </c>
    </row>
    <row r="26" customFormat="false" ht="12.75" hidden="false" customHeight="false" outlineLevel="0" collapsed="false">
      <c r="C26" s="87" t="n">
        <v>41639</v>
      </c>
      <c r="D26" s="87" t="n">
        <v>41671</v>
      </c>
      <c r="E26" s="87" t="n">
        <v>41699</v>
      </c>
      <c r="F26" s="87" t="n">
        <v>41730</v>
      </c>
      <c r="G26" s="87" t="n">
        <v>41764</v>
      </c>
      <c r="H26" s="87" t="n">
        <v>41794</v>
      </c>
      <c r="I26" s="87" t="n">
        <v>41821</v>
      </c>
      <c r="J26" s="87" t="n">
        <v>41852</v>
      </c>
      <c r="K26" s="87" t="n">
        <v>41886</v>
      </c>
      <c r="L26" s="87" t="n">
        <v>41920</v>
      </c>
      <c r="M26" s="87" t="n">
        <v>41947</v>
      </c>
      <c r="N26" s="87" t="n">
        <v>41974</v>
      </c>
      <c r="O26" s="87" t="n">
        <v>42004</v>
      </c>
    </row>
    <row r="27" customFormat="false" ht="12.75" hidden="false" customHeight="false" outlineLevel="0" collapsed="false">
      <c r="D27" s="1" t="s">
        <v>47</v>
      </c>
      <c r="E27" s="1" t="s">
        <v>47</v>
      </c>
      <c r="F27" s="1" t="s">
        <v>47</v>
      </c>
      <c r="Q27" s="1" t="s">
        <v>47</v>
      </c>
    </row>
    <row r="28" customFormat="false" ht="12.75" hidden="false" customHeight="false" outlineLevel="0" collapsed="false">
      <c r="A28" s="1" t="s">
        <v>57</v>
      </c>
      <c r="C28" s="54" t="n">
        <v>11665</v>
      </c>
      <c r="D28" s="54" t="n">
        <v>11873</v>
      </c>
      <c r="E28" s="54" t="n">
        <v>12133</v>
      </c>
      <c r="F28" s="54" t="n">
        <v>12345</v>
      </c>
      <c r="G28" s="54" t="n">
        <v>12518</v>
      </c>
      <c r="H28" s="54" t="n">
        <v>12746</v>
      </c>
      <c r="I28" s="54" t="n">
        <v>12886</v>
      </c>
      <c r="J28" s="54" t="n">
        <v>13093</v>
      </c>
      <c r="K28" s="54" t="n">
        <v>13194</v>
      </c>
      <c r="L28" s="54" t="n">
        <v>13394</v>
      </c>
      <c r="M28" s="54" t="n">
        <v>13573</v>
      </c>
      <c r="N28" s="54" t="n">
        <v>13784</v>
      </c>
      <c r="O28" s="54" t="n">
        <v>13967</v>
      </c>
      <c r="Q28" s="1" t="n">
        <f aca="false">SUM(O28-C28)</f>
        <v>2302</v>
      </c>
    </row>
    <row r="29" customFormat="false" ht="12.75" hidden="false" customHeight="false" outlineLevel="0" collapsed="false">
      <c r="A29" s="1" t="s">
        <v>58</v>
      </c>
      <c r="C29" s="54" t="n">
        <v>2416</v>
      </c>
      <c r="D29" s="54" t="n">
        <v>2443</v>
      </c>
      <c r="E29" s="54" t="n">
        <v>2472</v>
      </c>
      <c r="F29" s="54" t="n">
        <v>2499</v>
      </c>
      <c r="G29" s="54" t="n">
        <v>2522</v>
      </c>
      <c r="H29" s="54" t="n">
        <v>2543</v>
      </c>
      <c r="I29" s="54" t="n">
        <v>2555</v>
      </c>
      <c r="J29" s="54" t="n">
        <v>2582</v>
      </c>
      <c r="K29" s="54" t="n">
        <v>2585</v>
      </c>
      <c r="L29" s="54" t="n">
        <v>2607</v>
      </c>
      <c r="M29" s="54" t="n">
        <v>2644</v>
      </c>
      <c r="N29" s="54" t="n">
        <v>2673</v>
      </c>
      <c r="O29" s="54" t="n">
        <v>2693</v>
      </c>
      <c r="Q29" s="1" t="n">
        <f aca="false">SUM(O29-C29)</f>
        <v>277</v>
      </c>
    </row>
    <row r="30" customFormat="false" ht="12.75" hidden="false" customHeight="false" outlineLevel="0" collapsed="false">
      <c r="A30" s="1" t="s">
        <v>19</v>
      </c>
      <c r="C30" s="54" t="n">
        <v>197</v>
      </c>
      <c r="D30" s="24" t="n">
        <v>203</v>
      </c>
      <c r="E30" s="54" t="n">
        <v>208</v>
      </c>
      <c r="F30" s="54" t="n">
        <v>214</v>
      </c>
      <c r="G30" s="54" t="n">
        <v>219</v>
      </c>
      <c r="H30" s="54" t="n">
        <v>225</v>
      </c>
      <c r="I30" s="54" t="n">
        <v>230</v>
      </c>
      <c r="J30" s="54" t="n">
        <v>234</v>
      </c>
      <c r="K30" s="54" t="n">
        <v>240</v>
      </c>
      <c r="L30" s="54" t="n">
        <v>245</v>
      </c>
      <c r="M30" s="54" t="n">
        <v>249</v>
      </c>
      <c r="N30" s="54" t="n">
        <v>260</v>
      </c>
      <c r="O30" s="54" t="n">
        <v>266</v>
      </c>
      <c r="Q30" s="1" t="n">
        <f aca="false">SUM(O30-C30)</f>
        <v>69</v>
      </c>
    </row>
    <row r="31" customFormat="false" ht="12.75" hidden="false" customHeight="false" outlineLevel="0" collapsed="false">
      <c r="A31" s="1" t="s">
        <v>18</v>
      </c>
      <c r="C31" s="89" t="n">
        <v>1065</v>
      </c>
      <c r="D31" s="54" t="n">
        <v>1077</v>
      </c>
      <c r="E31" s="54" t="n">
        <v>1093</v>
      </c>
      <c r="F31" s="54" t="n">
        <v>1106</v>
      </c>
      <c r="G31" s="89" t="n">
        <v>1126</v>
      </c>
      <c r="H31" s="89" t="n">
        <v>1140</v>
      </c>
      <c r="I31" s="89" t="n">
        <v>1154</v>
      </c>
      <c r="J31" s="89" t="n">
        <v>14</v>
      </c>
      <c r="K31" s="89" t="n">
        <v>29</v>
      </c>
      <c r="L31" s="89" t="n">
        <v>43</v>
      </c>
      <c r="M31" s="89" t="n">
        <v>53</v>
      </c>
      <c r="N31" s="89" t="n">
        <v>64</v>
      </c>
      <c r="O31" s="89" t="n">
        <v>78</v>
      </c>
      <c r="P31" s="88"/>
      <c r="Q31" s="54" t="n">
        <f aca="false">SUM(I31-C31)+(O31-J31)</f>
        <v>153</v>
      </c>
      <c r="R31" s="1" t="s">
        <v>59</v>
      </c>
    </row>
    <row r="32" customFormat="false" ht="12.75" hidden="false" customHeight="false" outlineLevel="0" collapsed="false">
      <c r="R32" s="1" t="n">
        <f aca="false">SUM(Q27:Q31)</f>
        <v>2801</v>
      </c>
      <c r="S32" s="1" t="s">
        <v>1</v>
      </c>
    </row>
    <row r="37" customFormat="false" ht="15" hidden="false" customHeight="false" outlineLevel="0" collapsed="false">
      <c r="A37" s="2" t="n">
        <v>2015</v>
      </c>
      <c r="B37" s="1" t="s">
        <v>1</v>
      </c>
      <c r="C37" s="84" t="s">
        <v>2</v>
      </c>
      <c r="D37" s="84" t="s">
        <v>3</v>
      </c>
      <c r="E37" s="84" t="s">
        <v>4</v>
      </c>
      <c r="F37" s="84" t="s">
        <v>5</v>
      </c>
      <c r="G37" s="84" t="s">
        <v>6</v>
      </c>
      <c r="H37" s="84" t="s">
        <v>7</v>
      </c>
      <c r="I37" s="84" t="s">
        <v>8</v>
      </c>
      <c r="J37" s="84" t="s">
        <v>9</v>
      </c>
      <c r="K37" s="84" t="s">
        <v>10</v>
      </c>
      <c r="L37" s="84" t="s">
        <v>11</v>
      </c>
      <c r="M37" s="84" t="s">
        <v>12</v>
      </c>
      <c r="N37" s="84" t="s">
        <v>13</v>
      </c>
    </row>
    <row r="38" customFormat="false" ht="12.75" hidden="false" customHeight="false" outlineLevel="0" collapsed="false">
      <c r="C38" s="87" t="n">
        <v>42011</v>
      </c>
      <c r="D38" s="87" t="n">
        <v>42036</v>
      </c>
      <c r="E38" s="87" t="n">
        <v>42064</v>
      </c>
      <c r="F38" s="87" t="n">
        <v>42095</v>
      </c>
      <c r="G38" s="87" t="n">
        <v>42128</v>
      </c>
      <c r="H38" s="87" t="n">
        <v>42156</v>
      </c>
      <c r="I38" s="87" t="n">
        <v>42186</v>
      </c>
      <c r="J38" s="87" t="n">
        <v>42217</v>
      </c>
      <c r="K38" s="87" t="n">
        <v>42248</v>
      </c>
      <c r="L38" s="87" t="n">
        <v>42278</v>
      </c>
      <c r="M38" s="87" t="n">
        <v>42310</v>
      </c>
      <c r="N38" s="87" t="n">
        <v>42339</v>
      </c>
      <c r="O38" s="87" t="n">
        <v>42369</v>
      </c>
    </row>
    <row r="39" customFormat="false" ht="12.75" hidden="false" customHeight="false" outlineLevel="0" collapsed="false">
      <c r="D39" s="1" t="s">
        <v>47</v>
      </c>
      <c r="E39" s="1" t="s">
        <v>47</v>
      </c>
      <c r="F39" s="1" t="s">
        <v>47</v>
      </c>
      <c r="Q39" s="1" t="s">
        <v>47</v>
      </c>
    </row>
    <row r="40" customFormat="false" ht="12.75" hidden="false" customHeight="false" outlineLevel="0" collapsed="false">
      <c r="A40" s="1" t="s">
        <v>57</v>
      </c>
      <c r="C40" s="54" t="n">
        <v>13967</v>
      </c>
      <c r="D40" s="54" t="n">
        <v>14158</v>
      </c>
      <c r="E40" s="54" t="n">
        <v>14333</v>
      </c>
      <c r="F40" s="54" t="n">
        <v>14564</v>
      </c>
      <c r="G40" s="54" t="n">
        <v>14784</v>
      </c>
      <c r="H40" s="54" t="n">
        <v>14942</v>
      </c>
      <c r="I40" s="54" t="n">
        <v>15177</v>
      </c>
      <c r="J40" s="54" t="n">
        <v>15592</v>
      </c>
      <c r="K40" s="54" t="n">
        <v>15677</v>
      </c>
      <c r="L40" s="54" t="n">
        <v>15875</v>
      </c>
      <c r="M40" s="54" t="n">
        <v>16165</v>
      </c>
      <c r="N40" s="54" t="n">
        <v>16415</v>
      </c>
      <c r="O40" s="54" t="n">
        <v>16598</v>
      </c>
      <c r="Q40" s="1" t="n">
        <f aca="false">SUM(O40-C40)</f>
        <v>2631</v>
      </c>
    </row>
    <row r="41" customFormat="false" ht="12.75" hidden="false" customHeight="false" outlineLevel="0" collapsed="false">
      <c r="A41" s="1" t="s">
        <v>58</v>
      </c>
      <c r="C41" s="54" t="n">
        <v>2693</v>
      </c>
      <c r="D41" s="54" t="n">
        <v>2721</v>
      </c>
      <c r="E41" s="54" t="n">
        <v>2747</v>
      </c>
      <c r="F41" s="54" t="n">
        <v>2783</v>
      </c>
      <c r="G41" s="54" t="n">
        <v>2802</v>
      </c>
      <c r="H41" s="54" t="n">
        <v>2818</v>
      </c>
      <c r="I41" s="54" t="n">
        <v>2836</v>
      </c>
      <c r="J41" s="54" t="n">
        <v>2854</v>
      </c>
      <c r="K41" s="54" t="n">
        <v>2858</v>
      </c>
      <c r="L41" s="54" t="n">
        <v>2875</v>
      </c>
      <c r="M41" s="54" t="n">
        <v>2907</v>
      </c>
      <c r="N41" s="54" t="n">
        <v>2928</v>
      </c>
      <c r="O41" s="54" t="n">
        <v>2950</v>
      </c>
      <c r="Q41" s="1" t="n">
        <f aca="false">SUM(O41-C41)</f>
        <v>257</v>
      </c>
    </row>
    <row r="42" customFormat="false" ht="12.75" hidden="false" customHeight="false" outlineLevel="0" collapsed="false">
      <c r="A42" s="1" t="s">
        <v>19</v>
      </c>
      <c r="C42" s="54" t="n">
        <v>266</v>
      </c>
      <c r="D42" s="24" t="n">
        <v>271</v>
      </c>
      <c r="E42" s="54" t="n">
        <v>277</v>
      </c>
      <c r="F42" s="54" t="n">
        <v>281</v>
      </c>
      <c r="G42" s="54" t="n">
        <v>285</v>
      </c>
      <c r="H42" s="54" t="n">
        <v>291</v>
      </c>
      <c r="I42" s="54" t="n">
        <v>295</v>
      </c>
      <c r="J42" s="54" t="n">
        <v>299</v>
      </c>
      <c r="K42" s="54" t="n">
        <v>301</v>
      </c>
      <c r="L42" s="54" t="n">
        <v>305</v>
      </c>
      <c r="M42" s="54" t="n">
        <v>312</v>
      </c>
      <c r="N42" s="54" t="n">
        <v>317</v>
      </c>
      <c r="O42" s="54" t="n">
        <v>325</v>
      </c>
      <c r="Q42" s="1" t="n">
        <f aca="false">SUM(O42-C42)</f>
        <v>59</v>
      </c>
    </row>
    <row r="43" customFormat="false" ht="12.75" hidden="false" customHeight="false" outlineLevel="0" collapsed="false">
      <c r="A43" s="1" t="s">
        <v>18</v>
      </c>
      <c r="C43" s="89" t="n">
        <v>78</v>
      </c>
      <c r="D43" s="54" t="n">
        <v>87</v>
      </c>
      <c r="E43" s="54" t="n">
        <v>97</v>
      </c>
      <c r="F43" s="54" t="n">
        <v>109</v>
      </c>
      <c r="G43" s="89" t="n">
        <v>117</v>
      </c>
      <c r="H43" s="89" t="n">
        <v>126</v>
      </c>
      <c r="I43" s="89" t="n">
        <v>135</v>
      </c>
      <c r="J43" s="89" t="n">
        <v>139</v>
      </c>
      <c r="K43" s="89" t="n">
        <v>152</v>
      </c>
      <c r="L43" s="89" t="n">
        <v>159</v>
      </c>
      <c r="M43" s="89" t="n">
        <v>168</v>
      </c>
      <c r="N43" s="89" t="n">
        <v>177</v>
      </c>
      <c r="O43" s="89" t="n">
        <v>192</v>
      </c>
      <c r="P43" s="88"/>
      <c r="Q43" s="54" t="n">
        <f aca="false">SUM(I43-C43)+(O43-J43)</f>
        <v>110</v>
      </c>
      <c r="R43" s="1" t="s">
        <v>59</v>
      </c>
    </row>
    <row r="44" customFormat="false" ht="12.75" hidden="false" customHeight="false" outlineLevel="0" collapsed="false">
      <c r="R44" s="1" t="n">
        <f aca="false">SUM(Q39:Q43)</f>
        <v>3057</v>
      </c>
      <c r="S44" s="1" t="s">
        <v>1</v>
      </c>
    </row>
    <row r="49" customFormat="false" ht="15" hidden="false" customHeight="false" outlineLevel="0" collapsed="false">
      <c r="A49" s="2" t="n">
        <v>2016</v>
      </c>
      <c r="B49" s="1" t="s">
        <v>1</v>
      </c>
      <c r="C49" s="84" t="s">
        <v>2</v>
      </c>
      <c r="D49" s="84" t="s">
        <v>3</v>
      </c>
      <c r="E49" s="84" t="s">
        <v>4</v>
      </c>
      <c r="F49" s="84" t="s">
        <v>5</v>
      </c>
      <c r="G49" s="84" t="s">
        <v>6</v>
      </c>
      <c r="H49" s="84" t="s">
        <v>7</v>
      </c>
      <c r="I49" s="84" t="s">
        <v>8</v>
      </c>
      <c r="J49" s="84" t="s">
        <v>9</v>
      </c>
      <c r="K49" s="84" t="s">
        <v>10</v>
      </c>
      <c r="L49" s="84" t="s">
        <v>11</v>
      </c>
      <c r="M49" s="84" t="s">
        <v>12</v>
      </c>
      <c r="N49" s="84" t="s">
        <v>13</v>
      </c>
    </row>
    <row r="50" customFormat="false" ht="12.75" hidden="false" customHeight="false" outlineLevel="0" collapsed="false">
      <c r="C50" s="87" t="n">
        <v>42380</v>
      </c>
      <c r="D50" s="87" t="n">
        <v>42401</v>
      </c>
      <c r="E50" s="87" t="n">
        <v>42430</v>
      </c>
      <c r="F50" s="87" t="n">
        <v>42461</v>
      </c>
      <c r="G50" s="87" t="n">
        <v>42492</v>
      </c>
      <c r="H50" s="87" t="n">
        <v>42522</v>
      </c>
      <c r="I50" s="87" t="n">
        <v>42552</v>
      </c>
      <c r="J50" s="87" t="n">
        <v>42594</v>
      </c>
      <c r="K50" s="87" t="n">
        <v>42614</v>
      </c>
      <c r="L50" s="87" t="n">
        <v>42644</v>
      </c>
      <c r="M50" s="87" t="n">
        <v>42676</v>
      </c>
      <c r="N50" s="87" t="n">
        <v>42705</v>
      </c>
      <c r="O50" s="87" t="n">
        <v>42735</v>
      </c>
    </row>
    <row r="51" customFormat="false" ht="12.75" hidden="false" customHeight="false" outlineLevel="0" collapsed="false">
      <c r="D51" s="1" t="s">
        <v>47</v>
      </c>
      <c r="E51" s="1" t="s">
        <v>47</v>
      </c>
      <c r="F51" s="1" t="s">
        <v>47</v>
      </c>
      <c r="Q51" s="1" t="s">
        <v>47</v>
      </c>
    </row>
    <row r="52" customFormat="false" ht="12.75" hidden="false" customHeight="false" outlineLevel="0" collapsed="false">
      <c r="A52" s="1" t="s">
        <v>57</v>
      </c>
      <c r="C52" s="54" t="n">
        <v>1525</v>
      </c>
      <c r="D52" s="54" t="n">
        <v>1755</v>
      </c>
      <c r="E52" s="54" t="n">
        <v>1996</v>
      </c>
      <c r="F52" s="54" t="n">
        <v>2178</v>
      </c>
      <c r="G52" s="54" t="n">
        <v>2402</v>
      </c>
      <c r="H52" s="54" t="n">
        <v>2507</v>
      </c>
      <c r="I52" s="54" t="n">
        <v>2738</v>
      </c>
      <c r="J52" s="54" t="n">
        <v>3006</v>
      </c>
      <c r="K52" s="54" t="n">
        <v>3020</v>
      </c>
      <c r="L52" s="54" t="n">
        <v>3206</v>
      </c>
      <c r="M52" s="54" t="n">
        <v>3369</v>
      </c>
      <c r="N52" s="54" t="n">
        <v>3590</v>
      </c>
      <c r="O52" s="54" t="n">
        <v>3764</v>
      </c>
      <c r="Q52" s="1" t="n">
        <f aca="false">SUM(O52-C52)</f>
        <v>2239</v>
      </c>
    </row>
    <row r="53" customFormat="false" ht="12.75" hidden="false" customHeight="false" outlineLevel="0" collapsed="false">
      <c r="A53" s="1" t="s">
        <v>58</v>
      </c>
      <c r="C53" s="54" t="n">
        <v>2950</v>
      </c>
      <c r="D53" s="54" t="n">
        <v>2973</v>
      </c>
      <c r="E53" s="54" t="n">
        <v>3004</v>
      </c>
      <c r="F53" s="54" t="n">
        <v>3033</v>
      </c>
      <c r="G53" s="54" t="n">
        <v>3069</v>
      </c>
      <c r="H53" s="54" t="n">
        <v>3078</v>
      </c>
      <c r="I53" s="54" t="n">
        <v>3105</v>
      </c>
      <c r="J53" s="54" t="n">
        <v>3133</v>
      </c>
      <c r="K53" s="54" t="n">
        <v>3135</v>
      </c>
      <c r="L53" s="54" t="n">
        <v>3155</v>
      </c>
      <c r="M53" s="54" t="n">
        <v>3179</v>
      </c>
      <c r="N53" s="54" t="n">
        <v>3207</v>
      </c>
      <c r="O53" s="54" t="n">
        <v>3226</v>
      </c>
      <c r="Q53" s="1" t="n">
        <f aca="false">SUM(O53-C53)</f>
        <v>276</v>
      </c>
    </row>
    <row r="54" customFormat="false" ht="12.75" hidden="false" customHeight="false" outlineLevel="0" collapsed="false">
      <c r="A54" s="1" t="s">
        <v>19</v>
      </c>
      <c r="C54" s="54" t="n">
        <v>325</v>
      </c>
      <c r="D54" s="24" t="n">
        <v>331</v>
      </c>
      <c r="E54" s="54" t="n">
        <v>336</v>
      </c>
      <c r="F54" s="54" t="n">
        <v>342</v>
      </c>
      <c r="G54" s="54" t="n">
        <v>347</v>
      </c>
      <c r="H54" s="54" t="n">
        <v>351</v>
      </c>
      <c r="I54" s="54" t="n">
        <v>362</v>
      </c>
      <c r="J54" s="54" t="n">
        <v>369</v>
      </c>
      <c r="K54" s="54" t="n">
        <v>369</v>
      </c>
      <c r="L54" s="54" t="n">
        <v>374</v>
      </c>
      <c r="M54" s="54" t="n">
        <v>378</v>
      </c>
      <c r="N54" s="54" t="n">
        <v>383</v>
      </c>
      <c r="O54" s="54" t="n">
        <v>387</v>
      </c>
      <c r="Q54" s="1" t="n">
        <f aca="false">SUM(O54-C54)</f>
        <v>62</v>
      </c>
    </row>
    <row r="55" customFormat="false" ht="12.75" hidden="false" customHeight="false" outlineLevel="0" collapsed="false">
      <c r="A55" s="1" t="s">
        <v>18</v>
      </c>
      <c r="C55" s="89" t="n">
        <v>192</v>
      </c>
      <c r="D55" s="54" t="n">
        <v>202</v>
      </c>
      <c r="E55" s="54" t="n">
        <v>213</v>
      </c>
      <c r="F55" s="54" t="n">
        <v>225</v>
      </c>
      <c r="G55" s="89" t="n">
        <v>239</v>
      </c>
      <c r="H55" s="89" t="n">
        <v>249</v>
      </c>
      <c r="I55" s="89" t="n">
        <v>262</v>
      </c>
      <c r="J55" s="89" t="n">
        <v>289</v>
      </c>
      <c r="K55" s="89" t="n">
        <v>289</v>
      </c>
      <c r="L55" s="89" t="n">
        <v>289</v>
      </c>
      <c r="M55" s="89" t="n">
        <v>289</v>
      </c>
      <c r="N55" s="89" t="n">
        <v>289</v>
      </c>
      <c r="O55" s="89" t="n">
        <v>344</v>
      </c>
      <c r="P55" s="88"/>
      <c r="Q55" s="54" t="n">
        <f aca="false">SUM(I55-C55)+(O55-J55)</f>
        <v>125</v>
      </c>
      <c r="R55" s="1" t="s">
        <v>59</v>
      </c>
    </row>
    <row r="56" customFormat="false" ht="12.75" hidden="false" customHeight="false" outlineLevel="0" collapsed="false">
      <c r="R56" s="1" t="n">
        <f aca="false">SUM(Q51:Q55)</f>
        <v>2702</v>
      </c>
      <c r="S56" s="1" t="s">
        <v>1</v>
      </c>
    </row>
    <row r="59" customFormat="false" ht="15" hidden="false" customHeight="false" outlineLevel="0" collapsed="false">
      <c r="A59" s="2" t="n">
        <v>2017</v>
      </c>
      <c r="B59" s="1" t="s">
        <v>1</v>
      </c>
      <c r="C59" s="84" t="s">
        <v>2</v>
      </c>
      <c r="D59" s="84" t="s">
        <v>3</v>
      </c>
      <c r="E59" s="84" t="s">
        <v>4</v>
      </c>
      <c r="F59" s="84" t="s">
        <v>5</v>
      </c>
      <c r="G59" s="84" t="s">
        <v>6</v>
      </c>
      <c r="H59" s="84" t="s">
        <v>7</v>
      </c>
      <c r="I59" s="84" t="s">
        <v>8</v>
      </c>
      <c r="J59" s="84" t="s">
        <v>9</v>
      </c>
      <c r="K59" s="84" t="s">
        <v>10</v>
      </c>
      <c r="L59" s="84" t="s">
        <v>11</v>
      </c>
      <c r="M59" s="84" t="s">
        <v>12</v>
      </c>
      <c r="N59" s="84" t="s">
        <v>13</v>
      </c>
    </row>
    <row r="60" customFormat="false" ht="12.75" hidden="false" customHeight="false" outlineLevel="0" collapsed="false">
      <c r="C60" s="87" t="n">
        <v>42744</v>
      </c>
      <c r="D60" s="87" t="n">
        <v>42767</v>
      </c>
      <c r="E60" s="87" t="n">
        <v>42800</v>
      </c>
      <c r="F60" s="87" t="n">
        <v>42826</v>
      </c>
      <c r="G60" s="87" t="n">
        <v>42857</v>
      </c>
      <c r="H60" s="87" t="n">
        <v>42887</v>
      </c>
      <c r="I60" s="87" t="n">
        <v>42917</v>
      </c>
      <c r="J60" s="87" t="n">
        <v>42948</v>
      </c>
      <c r="K60" s="87" t="n">
        <v>42979</v>
      </c>
      <c r="L60" s="87" t="n">
        <v>43012</v>
      </c>
      <c r="M60" s="87" t="n">
        <v>43041</v>
      </c>
      <c r="N60" s="87" t="n">
        <v>43070</v>
      </c>
      <c r="O60" s="87" t="n">
        <v>43100</v>
      </c>
    </row>
    <row r="61" customFormat="false" ht="12.75" hidden="false" customHeight="false" outlineLevel="0" collapsed="false">
      <c r="D61" s="1" t="s">
        <v>47</v>
      </c>
      <c r="E61" s="1" t="s">
        <v>47</v>
      </c>
      <c r="F61" s="1" t="s">
        <v>47</v>
      </c>
      <c r="Q61" s="1" t="s">
        <v>47</v>
      </c>
    </row>
    <row r="62" customFormat="false" ht="12.75" hidden="false" customHeight="false" outlineLevel="0" collapsed="false">
      <c r="A62" s="1" t="s">
        <v>57</v>
      </c>
      <c r="C62" s="54" t="n">
        <v>3764</v>
      </c>
      <c r="D62" s="54" t="n">
        <v>3910</v>
      </c>
      <c r="E62" s="54" t="n">
        <v>4120</v>
      </c>
      <c r="F62" s="54" t="n">
        <v>4325</v>
      </c>
      <c r="G62" s="54" t="n">
        <v>4438</v>
      </c>
      <c r="H62" s="54" t="n">
        <v>4650</v>
      </c>
      <c r="I62" s="54" t="n">
        <v>4805</v>
      </c>
      <c r="J62" s="54" t="n">
        <v>4925</v>
      </c>
      <c r="K62" s="54" t="n">
        <v>5025</v>
      </c>
      <c r="L62" s="54" t="n">
        <v>5197</v>
      </c>
      <c r="M62" s="54" t="n">
        <v>5344</v>
      </c>
      <c r="N62" s="54" t="n">
        <v>5538</v>
      </c>
      <c r="O62" s="54" t="n">
        <v>5711</v>
      </c>
      <c r="Q62" s="1" t="n">
        <f aca="false">SUM(O62-C62)</f>
        <v>1947</v>
      </c>
    </row>
    <row r="63" customFormat="false" ht="12.75" hidden="false" customHeight="false" outlineLevel="0" collapsed="false">
      <c r="A63" s="1" t="s">
        <v>58</v>
      </c>
      <c r="C63" s="54" t="n">
        <v>3226</v>
      </c>
      <c r="D63" s="54" t="n">
        <v>3246</v>
      </c>
      <c r="E63" s="54" t="n">
        <v>3279</v>
      </c>
      <c r="F63" s="54" t="n">
        <v>3313</v>
      </c>
      <c r="G63" s="54" t="n">
        <v>3332</v>
      </c>
      <c r="H63" s="54" t="n">
        <v>3353</v>
      </c>
      <c r="I63" s="54" t="n">
        <v>3366</v>
      </c>
      <c r="J63" s="54" t="n">
        <v>3385</v>
      </c>
      <c r="K63" s="54" t="n">
        <v>3394</v>
      </c>
      <c r="L63" s="54" t="n">
        <v>3420</v>
      </c>
      <c r="M63" s="54" t="n">
        <v>3439</v>
      </c>
      <c r="N63" s="54" t="n">
        <v>3472</v>
      </c>
      <c r="O63" s="54" t="n">
        <v>3494</v>
      </c>
      <c r="Q63" s="1" t="n">
        <f aca="false">SUM(O63-C63)</f>
        <v>268</v>
      </c>
    </row>
    <row r="64" customFormat="false" ht="12.75" hidden="false" customHeight="false" outlineLevel="0" collapsed="false">
      <c r="A64" s="1" t="s">
        <v>19</v>
      </c>
      <c r="C64" s="54" t="n">
        <v>387</v>
      </c>
      <c r="D64" s="24" t="n">
        <v>392</v>
      </c>
      <c r="E64" s="54" t="n">
        <v>398</v>
      </c>
      <c r="F64" s="54" t="n">
        <v>404</v>
      </c>
      <c r="G64" s="54" t="n">
        <v>407</v>
      </c>
      <c r="H64" s="54" t="n">
        <v>413</v>
      </c>
      <c r="I64" s="54" t="n">
        <v>418</v>
      </c>
      <c r="J64" s="54" t="n">
        <v>418</v>
      </c>
      <c r="K64" s="54" t="n">
        <v>422</v>
      </c>
      <c r="L64" s="54" t="n">
        <v>474</v>
      </c>
      <c r="M64" s="54" t="n">
        <v>478</v>
      </c>
      <c r="N64" s="54" t="n">
        <v>482</v>
      </c>
      <c r="O64" s="54" t="n">
        <v>486</v>
      </c>
      <c r="Q64" s="1" t="n">
        <f aca="false">SUM(O64-C64)</f>
        <v>99</v>
      </c>
    </row>
    <row r="65" customFormat="false" ht="12.75" hidden="false" customHeight="false" outlineLevel="0" collapsed="false">
      <c r="A65" s="1" t="s">
        <v>18</v>
      </c>
      <c r="C65" s="89" t="n">
        <v>344</v>
      </c>
      <c r="D65" s="54" t="n">
        <v>354</v>
      </c>
      <c r="E65" s="54" t="n">
        <v>364</v>
      </c>
      <c r="F65" s="54" t="n">
        <v>378</v>
      </c>
      <c r="G65" s="89" t="n">
        <v>392</v>
      </c>
      <c r="H65" s="89" t="n">
        <v>408</v>
      </c>
      <c r="I65" s="89" t="n">
        <v>408</v>
      </c>
      <c r="J65" s="89" t="n">
        <v>408</v>
      </c>
      <c r="K65" s="89" t="n">
        <v>408</v>
      </c>
      <c r="L65" s="89" t="n">
        <v>408</v>
      </c>
      <c r="M65" s="89" t="n">
        <v>408</v>
      </c>
      <c r="N65" s="89" t="n">
        <v>471</v>
      </c>
      <c r="O65" s="89" t="n">
        <v>485</v>
      </c>
      <c r="P65" s="88"/>
      <c r="Q65" s="54" t="n">
        <f aca="false">SUM(I65-C65)+(O65-J65)</f>
        <v>141</v>
      </c>
      <c r="R65" s="1" t="s">
        <v>59</v>
      </c>
    </row>
    <row r="66" customFormat="false" ht="12.75" hidden="false" customHeight="false" outlineLevel="0" collapsed="false">
      <c r="R66" s="1" t="n">
        <f aca="false">SUM(Q61:Q65)</f>
        <v>2455</v>
      </c>
      <c r="S66" s="1" t="s">
        <v>1</v>
      </c>
    </row>
    <row r="69" customFormat="false" ht="15" hidden="false" customHeight="false" outlineLevel="0" collapsed="false">
      <c r="A69" s="32" t="n">
        <v>2018</v>
      </c>
      <c r="B69" s="35" t="s">
        <v>1</v>
      </c>
      <c r="C69" s="90" t="s">
        <v>2</v>
      </c>
      <c r="D69" s="90" t="s">
        <v>3</v>
      </c>
      <c r="E69" s="90" t="s">
        <v>4</v>
      </c>
      <c r="F69" s="90" t="s">
        <v>5</v>
      </c>
      <c r="G69" s="90" t="s">
        <v>6</v>
      </c>
      <c r="H69" s="90" t="s">
        <v>7</v>
      </c>
      <c r="I69" s="90" t="s">
        <v>8</v>
      </c>
      <c r="J69" s="90" t="s">
        <v>9</v>
      </c>
      <c r="K69" s="90" t="s">
        <v>10</v>
      </c>
      <c r="L69" s="90" t="s">
        <v>11</v>
      </c>
      <c r="M69" s="90" t="s">
        <v>12</v>
      </c>
      <c r="N69" s="90" t="s">
        <v>13</v>
      </c>
      <c r="O69" s="35"/>
      <c r="P69" s="35"/>
      <c r="Q69" s="35"/>
      <c r="R69" s="35"/>
      <c r="S69" s="35"/>
    </row>
    <row r="70" customFormat="false" ht="12.75" hidden="false" customHeight="false" outlineLevel="0" collapsed="false">
      <c r="A70" s="35"/>
      <c r="B70" s="35"/>
      <c r="C70" s="36" t="n">
        <v>43109</v>
      </c>
      <c r="D70" s="36" t="n">
        <v>43132</v>
      </c>
      <c r="E70" s="36" t="n">
        <v>43160</v>
      </c>
      <c r="F70" s="36" t="n">
        <v>43193</v>
      </c>
      <c r="G70" s="36" t="n">
        <v>43222</v>
      </c>
      <c r="H70" s="36" t="n">
        <v>43255</v>
      </c>
      <c r="I70" s="36" t="n">
        <v>43282</v>
      </c>
      <c r="J70" s="36" t="n">
        <v>43319</v>
      </c>
      <c r="K70" s="36" t="n">
        <v>43346</v>
      </c>
      <c r="L70" s="36" t="n">
        <v>43374</v>
      </c>
      <c r="M70" s="36" t="n">
        <v>43409</v>
      </c>
      <c r="N70" s="36" t="n">
        <v>43437</v>
      </c>
      <c r="O70" s="36" t="n">
        <v>43465</v>
      </c>
      <c r="P70" s="35"/>
      <c r="Q70" s="35"/>
      <c r="R70" s="35"/>
      <c r="S70" s="35"/>
    </row>
    <row r="71" customFormat="false" ht="12.75" hidden="false" customHeight="false" outlineLevel="0" collapsed="false">
      <c r="A71" s="35"/>
      <c r="B71" s="35"/>
      <c r="C71" s="35"/>
      <c r="D71" s="35" t="s">
        <v>47</v>
      </c>
      <c r="E71" s="35" t="s">
        <v>47</v>
      </c>
      <c r="F71" s="35" t="s">
        <v>47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 t="s">
        <v>47</v>
      </c>
      <c r="R71" s="35"/>
      <c r="S71" s="35"/>
    </row>
    <row r="72" customFormat="false" ht="12.75" hidden="false" customHeight="false" outlineLevel="0" collapsed="false">
      <c r="A72" s="35" t="s">
        <v>57</v>
      </c>
      <c r="B72" s="35"/>
      <c r="C72" s="37" t="n">
        <v>5711</v>
      </c>
      <c r="D72" s="37" t="n">
        <v>5878</v>
      </c>
      <c r="E72" s="37" t="n">
        <v>6032</v>
      </c>
      <c r="F72" s="37" t="n">
        <v>6230</v>
      </c>
      <c r="G72" s="37" t="n">
        <v>6377</v>
      </c>
      <c r="H72" s="37" t="n">
        <v>6505</v>
      </c>
      <c r="I72" s="37" t="n">
        <v>6697</v>
      </c>
      <c r="J72" s="37" t="n">
        <v>6863</v>
      </c>
      <c r="K72" s="37" t="n">
        <v>6993</v>
      </c>
      <c r="L72" s="37" t="n">
        <v>7204</v>
      </c>
      <c r="M72" s="37" t="n">
        <v>7394</v>
      </c>
      <c r="N72" s="37" t="n">
        <v>7597</v>
      </c>
      <c r="O72" s="37" t="n">
        <v>7761</v>
      </c>
      <c r="P72" s="35"/>
      <c r="Q72" s="35" t="n">
        <f aca="false">SUM(O72-C72)</f>
        <v>2050</v>
      </c>
      <c r="R72" s="35"/>
      <c r="S72" s="35"/>
    </row>
    <row r="73" customFormat="false" ht="12.75" hidden="false" customHeight="false" outlineLevel="0" collapsed="false">
      <c r="A73" s="35" t="s">
        <v>58</v>
      </c>
      <c r="B73" s="35"/>
      <c r="C73" s="37" t="n">
        <v>3494</v>
      </c>
      <c r="D73" s="37" t="n">
        <v>3517</v>
      </c>
      <c r="E73" s="37" t="n">
        <v>3538</v>
      </c>
      <c r="F73" s="37" t="n">
        <v>3565</v>
      </c>
      <c r="G73" s="37" t="n">
        <v>3581</v>
      </c>
      <c r="H73" s="37" t="n">
        <v>3595</v>
      </c>
      <c r="I73" s="37" t="n">
        <v>3618</v>
      </c>
      <c r="J73" s="37" t="n">
        <v>3642</v>
      </c>
      <c r="K73" s="37" t="n">
        <v>3664</v>
      </c>
      <c r="L73" s="37" t="n">
        <v>3689</v>
      </c>
      <c r="M73" s="37" t="n">
        <v>3713</v>
      </c>
      <c r="N73" s="37" t="n">
        <v>3737</v>
      </c>
      <c r="O73" s="37" t="n">
        <v>3758</v>
      </c>
      <c r="P73" s="35"/>
      <c r="Q73" s="35" t="n">
        <f aca="false">SUM(O73-C73)</f>
        <v>264</v>
      </c>
      <c r="R73" s="35"/>
      <c r="S73" s="35"/>
    </row>
    <row r="74" customFormat="false" ht="12.75" hidden="false" customHeight="false" outlineLevel="0" collapsed="false">
      <c r="A74" s="35" t="s">
        <v>19</v>
      </c>
      <c r="B74" s="35"/>
      <c r="C74" s="37" t="n">
        <v>68</v>
      </c>
      <c r="D74" s="37" t="n">
        <v>79</v>
      </c>
      <c r="E74" s="37" t="n">
        <v>83</v>
      </c>
      <c r="F74" s="37" t="n">
        <v>89</v>
      </c>
      <c r="G74" s="37" t="n">
        <v>95</v>
      </c>
      <c r="H74" s="37" t="n">
        <v>98</v>
      </c>
      <c r="I74" s="37" t="n">
        <v>102</v>
      </c>
      <c r="J74" s="37" t="n">
        <v>107</v>
      </c>
      <c r="K74" s="37" t="n">
        <v>107</v>
      </c>
      <c r="L74" s="37" t="n">
        <v>111</v>
      </c>
      <c r="M74" s="37" t="n">
        <v>188</v>
      </c>
      <c r="N74" s="37" t="n">
        <v>193</v>
      </c>
      <c r="O74" s="37" t="n">
        <v>198</v>
      </c>
      <c r="P74" s="35"/>
      <c r="Q74" s="35" t="n">
        <f aca="false">SUM(O74-C74)</f>
        <v>130</v>
      </c>
      <c r="R74" s="35"/>
      <c r="S74" s="35"/>
    </row>
    <row r="75" customFormat="false" ht="12.75" hidden="false" customHeight="false" outlineLevel="0" collapsed="false">
      <c r="A75" s="35" t="s">
        <v>18</v>
      </c>
      <c r="B75" s="35"/>
      <c r="C75" s="91" t="n">
        <v>485</v>
      </c>
      <c r="D75" s="37" t="n">
        <v>485</v>
      </c>
      <c r="E75" s="37" t="n">
        <v>512</v>
      </c>
      <c r="F75" s="37" t="n">
        <v>526</v>
      </c>
      <c r="G75" s="91" t="n">
        <v>526</v>
      </c>
      <c r="H75" s="91" t="n">
        <v>526</v>
      </c>
      <c r="I75" s="91" t="n">
        <v>566</v>
      </c>
      <c r="J75" s="91" t="n">
        <v>566</v>
      </c>
      <c r="K75" s="91" t="n">
        <v>566</v>
      </c>
      <c r="L75" s="91" t="n">
        <v>566</v>
      </c>
      <c r="M75" s="91" t="n">
        <v>566</v>
      </c>
      <c r="N75" s="91" t="n">
        <v>628</v>
      </c>
      <c r="O75" s="91" t="n">
        <v>640</v>
      </c>
      <c r="P75" s="92"/>
      <c r="Q75" s="37" t="n">
        <f aca="false">SUM(I75-C75)+(O75-J75)</f>
        <v>155</v>
      </c>
      <c r="R75" s="35" t="s">
        <v>59</v>
      </c>
      <c r="S75" s="35"/>
    </row>
    <row r="76" customFormat="false" ht="12.7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 t="n">
        <f aca="false">SUM(Q71:Q75)</f>
        <v>2599</v>
      </c>
      <c r="S76" s="35" t="s">
        <v>1</v>
      </c>
    </row>
    <row r="77" customFormat="false" ht="12.75" hidden="false" customHeight="fals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</row>
    <row r="78" customFormat="false" ht="12.75" hidden="false" customHeight="fals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</row>
    <row r="79" customFormat="false" ht="12.7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4" customFormat="false" ht="15" hidden="false" customHeight="false" outlineLevel="0" collapsed="false">
      <c r="A84" s="16" t="n">
        <v>2019</v>
      </c>
      <c r="B84" s="19" t="s">
        <v>1</v>
      </c>
      <c r="C84" s="93" t="s">
        <v>2</v>
      </c>
      <c r="D84" s="93" t="s">
        <v>3</v>
      </c>
      <c r="E84" s="93" t="s">
        <v>4</v>
      </c>
      <c r="F84" s="93" t="s">
        <v>5</v>
      </c>
      <c r="G84" s="93" t="s">
        <v>6</v>
      </c>
      <c r="H84" s="93" t="s">
        <v>7</v>
      </c>
      <c r="I84" s="93" t="s">
        <v>8</v>
      </c>
      <c r="J84" s="93" t="s">
        <v>9</v>
      </c>
      <c r="K84" s="93" t="s">
        <v>10</v>
      </c>
      <c r="L84" s="93" t="s">
        <v>11</v>
      </c>
      <c r="M84" s="93" t="s">
        <v>12</v>
      </c>
      <c r="N84" s="93" t="s">
        <v>13</v>
      </c>
      <c r="O84" s="19"/>
      <c r="P84" s="19"/>
      <c r="Q84" s="19"/>
      <c r="R84" s="19"/>
      <c r="S84" s="19"/>
    </row>
    <row r="85" customFormat="false" ht="12.75" hidden="false" customHeight="false" outlineLevel="0" collapsed="false">
      <c r="A85" s="19"/>
      <c r="B85" s="19"/>
      <c r="C85" s="20" t="n">
        <v>43472</v>
      </c>
      <c r="D85" s="20" t="n">
        <v>43497</v>
      </c>
      <c r="E85" s="20" t="n">
        <v>43525</v>
      </c>
      <c r="F85" s="20" t="n">
        <v>43556</v>
      </c>
      <c r="G85" s="20" t="n">
        <v>43587</v>
      </c>
      <c r="H85" s="20" t="n">
        <v>43619</v>
      </c>
      <c r="I85" s="20" t="n">
        <v>43647</v>
      </c>
      <c r="J85" s="20" t="n">
        <v>43691</v>
      </c>
      <c r="K85" s="20" t="n">
        <v>43718</v>
      </c>
      <c r="L85" s="20" t="n">
        <v>43739</v>
      </c>
      <c r="M85" s="20" t="n">
        <v>43770</v>
      </c>
      <c r="N85" s="20" t="n">
        <v>43804</v>
      </c>
      <c r="O85" s="20" t="n">
        <v>43830</v>
      </c>
      <c r="P85" s="19"/>
      <c r="Q85" s="19"/>
      <c r="R85" s="19"/>
      <c r="S85" s="19"/>
    </row>
    <row r="86" customFormat="false" ht="12.75" hidden="false" customHeight="false" outlineLevel="0" collapsed="false">
      <c r="A86" s="19"/>
      <c r="B86" s="19"/>
      <c r="C86" s="19"/>
      <c r="D86" s="19" t="s">
        <v>47</v>
      </c>
      <c r="E86" s="19" t="s">
        <v>47</v>
      </c>
      <c r="F86" s="19" t="s">
        <v>47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 t="s">
        <v>47</v>
      </c>
      <c r="R86" s="19"/>
      <c r="S86" s="19"/>
    </row>
    <row r="87" customFormat="false" ht="12.75" hidden="false" customHeight="false" outlineLevel="0" collapsed="false">
      <c r="A87" s="19" t="s">
        <v>57</v>
      </c>
      <c r="B87" s="19"/>
      <c r="C87" s="21" t="n">
        <v>7761</v>
      </c>
      <c r="D87" s="21" t="n">
        <v>7964</v>
      </c>
      <c r="E87" s="21" t="n">
        <v>8225</v>
      </c>
      <c r="F87" s="21" t="n">
        <v>8388</v>
      </c>
      <c r="G87" s="21" t="n">
        <v>8527</v>
      </c>
      <c r="H87" s="21" t="n">
        <v>8739</v>
      </c>
      <c r="I87" s="21" t="n">
        <v>8831</v>
      </c>
      <c r="J87" s="21" t="n">
        <v>9072</v>
      </c>
      <c r="K87" s="21" t="n">
        <v>9104</v>
      </c>
      <c r="L87" s="21" t="n">
        <v>9248</v>
      </c>
      <c r="M87" s="21" t="n">
        <v>9418</v>
      </c>
      <c r="N87" s="21" t="n">
        <v>9670</v>
      </c>
      <c r="O87" s="21" t="n">
        <v>9763</v>
      </c>
      <c r="P87" s="19"/>
      <c r="Q87" s="19" t="n">
        <f aca="false">SUM(O87-C87)</f>
        <v>2002</v>
      </c>
      <c r="R87" s="19"/>
      <c r="S87" s="19"/>
    </row>
    <row r="88" customFormat="false" ht="12.75" hidden="false" customHeight="false" outlineLevel="0" collapsed="false">
      <c r="A88" s="19" t="s">
        <v>58</v>
      </c>
      <c r="B88" s="19"/>
      <c r="C88" s="21" t="n">
        <v>3758</v>
      </c>
      <c r="D88" s="21" t="n">
        <v>3781</v>
      </c>
      <c r="E88" s="21" t="n">
        <v>3801</v>
      </c>
      <c r="F88" s="21" t="n">
        <v>3825</v>
      </c>
      <c r="G88" s="21" t="n">
        <v>3841</v>
      </c>
      <c r="H88" s="21" t="n">
        <v>3865</v>
      </c>
      <c r="I88" s="21" t="n">
        <v>3883</v>
      </c>
      <c r="J88" s="21" t="n">
        <v>3896</v>
      </c>
      <c r="K88" s="21" t="n">
        <v>3902</v>
      </c>
      <c r="L88" s="21" t="n">
        <v>3913</v>
      </c>
      <c r="M88" s="21" t="n">
        <v>3927</v>
      </c>
      <c r="N88" s="21" t="n">
        <v>3953</v>
      </c>
      <c r="O88" s="21" t="n">
        <v>3963</v>
      </c>
      <c r="P88" s="19"/>
      <c r="Q88" s="19" t="n">
        <f aca="false">SUM(O88-C88)</f>
        <v>205</v>
      </c>
      <c r="R88" s="19"/>
      <c r="S88" s="19"/>
    </row>
    <row r="89" customFormat="false" ht="12.75" hidden="false" customHeight="false" outlineLevel="0" collapsed="false">
      <c r="A89" s="19" t="s">
        <v>19</v>
      </c>
      <c r="B89" s="19"/>
      <c r="C89" s="21" t="n">
        <v>198</v>
      </c>
      <c r="D89" s="21" t="n">
        <v>203</v>
      </c>
      <c r="E89" s="21" t="n">
        <v>208</v>
      </c>
      <c r="F89" s="21" t="n">
        <v>245</v>
      </c>
      <c r="G89" s="21" t="n">
        <v>249</v>
      </c>
      <c r="H89" s="21" t="n">
        <v>256</v>
      </c>
      <c r="I89" s="21" t="n">
        <v>258</v>
      </c>
      <c r="J89" s="21" t="n">
        <v>265</v>
      </c>
      <c r="K89" s="21" t="n">
        <v>265</v>
      </c>
      <c r="L89" s="21" t="n">
        <v>280</v>
      </c>
      <c r="M89" s="21" t="n">
        <v>298</v>
      </c>
      <c r="N89" s="21" t="n">
        <v>307</v>
      </c>
      <c r="O89" s="21" t="n">
        <v>309</v>
      </c>
      <c r="P89" s="19"/>
      <c r="Q89" s="19" t="n">
        <f aca="false">SUM(O89-C89)</f>
        <v>111</v>
      </c>
      <c r="R89" s="19"/>
      <c r="S89" s="19"/>
    </row>
    <row r="90" customFormat="false" ht="12.75" hidden="false" customHeight="false" outlineLevel="0" collapsed="false">
      <c r="A90" s="19" t="s">
        <v>18</v>
      </c>
      <c r="B90" s="19"/>
      <c r="C90" s="94" t="n">
        <v>640</v>
      </c>
      <c r="D90" s="21" t="n">
        <v>640</v>
      </c>
      <c r="E90" s="21" t="n">
        <v>640</v>
      </c>
      <c r="F90" s="21" t="n">
        <v>640</v>
      </c>
      <c r="G90" s="94" t="n">
        <v>640</v>
      </c>
      <c r="H90" s="94" t="n">
        <v>640</v>
      </c>
      <c r="I90" s="94" t="n">
        <v>711</v>
      </c>
      <c r="J90" s="94" t="n">
        <v>728</v>
      </c>
      <c r="K90" s="94" t="n">
        <v>736</v>
      </c>
      <c r="L90" s="94" t="n">
        <v>744</v>
      </c>
      <c r="M90" s="94" t="n">
        <v>744</v>
      </c>
      <c r="N90" s="94" t="n">
        <v>744</v>
      </c>
      <c r="O90" s="94" t="n">
        <v>774</v>
      </c>
      <c r="P90" s="95"/>
      <c r="Q90" s="21" t="n">
        <f aca="false">SUM(I90-C90)+(O90-J90)</f>
        <v>117</v>
      </c>
      <c r="R90" s="19" t="s">
        <v>59</v>
      </c>
      <c r="S90" s="19"/>
    </row>
    <row r="91" customFormat="false" ht="12.75" hidden="false" customHeight="fals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 t="n">
        <f aca="false">SUM(Q86:Q90)</f>
        <v>2435</v>
      </c>
      <c r="S91" s="19" t="s">
        <v>1</v>
      </c>
    </row>
    <row r="92" customFormat="false" ht="12.75" hidden="false" customHeight="fals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customFormat="false" ht="12.75" hidden="false" customHeight="fals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customFormat="false" ht="12.75" hidden="false" customHeight="fals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customFormat="false" ht="12.75" hidden="false" customHeight="fals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100" customFormat="false" ht="15" hidden="false" customHeight="false" outlineLevel="0" collapsed="false">
      <c r="A100" s="39" t="n">
        <v>2020</v>
      </c>
      <c r="B100" s="42" t="s">
        <v>1</v>
      </c>
      <c r="C100" s="96" t="s">
        <v>2</v>
      </c>
      <c r="D100" s="96" t="s">
        <v>3</v>
      </c>
      <c r="E100" s="96" t="s">
        <v>4</v>
      </c>
      <c r="F100" s="96" t="s">
        <v>5</v>
      </c>
      <c r="G100" s="96" t="s">
        <v>6</v>
      </c>
      <c r="H100" s="96" t="s">
        <v>7</v>
      </c>
      <c r="I100" s="96" t="s">
        <v>8</v>
      </c>
      <c r="J100" s="96" t="s">
        <v>9</v>
      </c>
      <c r="K100" s="96" t="s">
        <v>10</v>
      </c>
      <c r="L100" s="96" t="s">
        <v>11</v>
      </c>
      <c r="M100" s="96" t="s">
        <v>12</v>
      </c>
      <c r="N100" s="96" t="s">
        <v>13</v>
      </c>
      <c r="O100" s="42"/>
      <c r="P100" s="42"/>
      <c r="Q100" s="42"/>
      <c r="R100" s="42"/>
      <c r="S100" s="42"/>
    </row>
    <row r="101" customFormat="false" ht="12.75" hidden="false" customHeight="false" outlineLevel="0" collapsed="false">
      <c r="A101" s="42"/>
      <c r="B101" s="42"/>
      <c r="C101" s="43" t="n">
        <v>43831</v>
      </c>
      <c r="D101" s="43" t="n">
        <v>43864</v>
      </c>
      <c r="E101" s="43" t="n">
        <v>43892</v>
      </c>
      <c r="F101" s="43" t="n">
        <v>43922</v>
      </c>
      <c r="G101" s="43" t="n">
        <v>43955</v>
      </c>
      <c r="H101" s="43" t="n">
        <v>43984</v>
      </c>
      <c r="I101" s="43" t="n">
        <v>44013</v>
      </c>
      <c r="J101" s="43" t="n">
        <v>44046</v>
      </c>
      <c r="K101" s="43" t="n">
        <v>44075</v>
      </c>
      <c r="L101" s="43" t="n">
        <v>44105</v>
      </c>
      <c r="M101" s="43" t="n">
        <v>44138</v>
      </c>
      <c r="N101" s="43" t="n">
        <v>44166</v>
      </c>
      <c r="O101" s="43" t="n">
        <v>44196</v>
      </c>
      <c r="P101" s="42"/>
      <c r="Q101" s="42"/>
      <c r="R101" s="42"/>
      <c r="S101" s="42"/>
    </row>
    <row r="102" customFormat="false" ht="12.75" hidden="false" customHeight="false" outlineLevel="0" collapsed="false">
      <c r="A102" s="42"/>
      <c r="B102" s="42"/>
      <c r="C102" s="42"/>
      <c r="D102" s="42" t="s">
        <v>47</v>
      </c>
      <c r="E102" s="42" t="s">
        <v>47</v>
      </c>
      <c r="F102" s="42" t="s">
        <v>47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 t="s">
        <v>47</v>
      </c>
      <c r="R102" s="42"/>
      <c r="S102" s="42"/>
    </row>
    <row r="103" customFormat="false" ht="12.75" hidden="false" customHeight="false" outlineLevel="0" collapsed="false">
      <c r="A103" s="42" t="s">
        <v>57</v>
      </c>
      <c r="B103" s="42"/>
      <c r="C103" s="44" t="n">
        <v>9763</v>
      </c>
      <c r="D103" s="44" t="n">
        <v>9991</v>
      </c>
      <c r="E103" s="44" t="n">
        <v>10185</v>
      </c>
      <c r="F103" s="44" t="n">
        <v>10346</v>
      </c>
      <c r="G103" s="44" t="n">
        <v>10456</v>
      </c>
      <c r="H103" s="44" t="n">
        <v>10550</v>
      </c>
      <c r="I103" s="44" t="n">
        <v>10615</v>
      </c>
      <c r="J103" s="44" t="n">
        <v>10695</v>
      </c>
      <c r="K103" s="44" t="n">
        <v>10726</v>
      </c>
      <c r="L103" s="44" t="n">
        <v>10871</v>
      </c>
      <c r="M103" s="44" t="n">
        <v>11052</v>
      </c>
      <c r="N103" s="44" t="n">
        <v>11299</v>
      </c>
      <c r="O103" s="44" t="n">
        <v>11464</v>
      </c>
      <c r="P103" s="42"/>
      <c r="Q103" s="42" t="n">
        <f aca="false">SUM(O103-C103)</f>
        <v>1701</v>
      </c>
      <c r="R103" s="42"/>
      <c r="S103" s="42"/>
    </row>
    <row r="104" customFormat="false" ht="12.75" hidden="false" customHeight="false" outlineLevel="0" collapsed="false">
      <c r="A104" s="42" t="s">
        <v>58</v>
      </c>
      <c r="B104" s="42"/>
      <c r="C104" s="44" t="n">
        <v>3963</v>
      </c>
      <c r="D104" s="44" t="n">
        <v>3983</v>
      </c>
      <c r="E104" s="44" t="n">
        <v>3993</v>
      </c>
      <c r="F104" s="44" t="n">
        <v>4001</v>
      </c>
      <c r="G104" s="44" t="n">
        <v>4006</v>
      </c>
      <c r="H104" s="44" t="n">
        <v>4015</v>
      </c>
      <c r="I104" s="44" t="n">
        <v>4021</v>
      </c>
      <c r="J104" s="44" t="n">
        <v>4030</v>
      </c>
      <c r="K104" s="44" t="n">
        <v>4038</v>
      </c>
      <c r="L104" s="44" t="n">
        <v>4053</v>
      </c>
      <c r="M104" s="44" t="n">
        <v>4077</v>
      </c>
      <c r="N104" s="44" t="n">
        <v>4077</v>
      </c>
      <c r="O104" s="44" t="n">
        <v>4084</v>
      </c>
      <c r="P104" s="42"/>
      <c r="Q104" s="42" t="n">
        <f aca="false">SUM(O104-C104)</f>
        <v>121</v>
      </c>
      <c r="R104" s="42"/>
      <c r="S104" s="42"/>
    </row>
    <row r="105" customFormat="false" ht="12.75" hidden="false" customHeight="false" outlineLevel="0" collapsed="false">
      <c r="A105" s="42" t="s">
        <v>19</v>
      </c>
      <c r="B105" s="42"/>
      <c r="C105" s="44" t="n">
        <v>309</v>
      </c>
      <c r="D105" s="44" t="n">
        <v>315</v>
      </c>
      <c r="E105" s="44" t="n">
        <v>321</v>
      </c>
      <c r="F105" s="44" t="n">
        <v>324</v>
      </c>
      <c r="G105" s="44" t="n">
        <v>324</v>
      </c>
      <c r="H105" s="44" t="n">
        <v>328</v>
      </c>
      <c r="I105" s="44" t="n">
        <v>330</v>
      </c>
      <c r="J105" s="44" t="n">
        <v>335</v>
      </c>
      <c r="K105" s="44" t="n">
        <v>338</v>
      </c>
      <c r="L105" s="44" t="n">
        <v>341</v>
      </c>
      <c r="M105" s="44" t="n">
        <v>344</v>
      </c>
      <c r="N105" s="44" t="n">
        <v>348</v>
      </c>
      <c r="O105" s="44" t="n">
        <v>350</v>
      </c>
      <c r="P105" s="42"/>
      <c r="Q105" s="42" t="n">
        <f aca="false">SUM(O105-C105)</f>
        <v>41</v>
      </c>
      <c r="R105" s="42"/>
      <c r="S105" s="42"/>
    </row>
    <row r="106" customFormat="false" ht="12.75" hidden="false" customHeight="false" outlineLevel="0" collapsed="false">
      <c r="A106" s="42" t="s">
        <v>18</v>
      </c>
      <c r="B106" s="42"/>
      <c r="C106" s="97" t="n">
        <v>774</v>
      </c>
      <c r="D106" s="44" t="n">
        <v>774</v>
      </c>
      <c r="E106" s="44" t="n">
        <v>774</v>
      </c>
      <c r="F106" s="44" t="n">
        <v>815</v>
      </c>
      <c r="G106" s="97" t="n">
        <v>815</v>
      </c>
      <c r="H106" s="97" t="n">
        <v>838</v>
      </c>
      <c r="I106" s="97" t="n">
        <v>838</v>
      </c>
      <c r="J106" s="97" t="n">
        <v>838</v>
      </c>
      <c r="K106" s="97" t="n">
        <v>868</v>
      </c>
      <c r="L106" s="97" t="n">
        <v>868</v>
      </c>
      <c r="M106" s="97" t="n">
        <v>868</v>
      </c>
      <c r="N106" s="97" t="n">
        <v>868</v>
      </c>
      <c r="O106" s="97" t="n">
        <v>900</v>
      </c>
      <c r="P106" s="98"/>
      <c r="Q106" s="44" t="n">
        <f aca="false">SUM(I106-C106)+(O106-J106)</f>
        <v>126</v>
      </c>
      <c r="R106" s="42" t="s">
        <v>59</v>
      </c>
      <c r="S106" s="42"/>
    </row>
    <row r="107" customFormat="false" ht="12.75" hidden="false" customHeight="fals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 t="n">
        <f aca="false">SUM(Q102:Q106)</f>
        <v>1989</v>
      </c>
      <c r="S107" s="42" t="s">
        <v>1</v>
      </c>
    </row>
    <row r="110" customFormat="false" ht="15" hidden="false" customHeight="false" outlineLevel="0" collapsed="false">
      <c r="A110" s="46" t="n">
        <v>2021</v>
      </c>
      <c r="B110" s="49" t="s">
        <v>1</v>
      </c>
      <c r="C110" s="99" t="s">
        <v>2</v>
      </c>
      <c r="D110" s="99" t="s">
        <v>3</v>
      </c>
      <c r="E110" s="99" t="s">
        <v>4</v>
      </c>
      <c r="F110" s="99" t="s">
        <v>5</v>
      </c>
      <c r="G110" s="99" t="s">
        <v>6</v>
      </c>
      <c r="H110" s="99" t="s">
        <v>7</v>
      </c>
      <c r="I110" s="99" t="s">
        <v>8</v>
      </c>
      <c r="J110" s="99" t="s">
        <v>9</v>
      </c>
      <c r="K110" s="99" t="s">
        <v>10</v>
      </c>
      <c r="L110" s="99" t="s">
        <v>11</v>
      </c>
      <c r="M110" s="99" t="s">
        <v>12</v>
      </c>
      <c r="N110" s="99" t="s">
        <v>13</v>
      </c>
      <c r="O110" s="49"/>
      <c r="P110" s="49"/>
      <c r="Q110" s="49"/>
      <c r="R110" s="49"/>
      <c r="S110" s="49"/>
    </row>
    <row r="111" customFormat="false" ht="12.75" hidden="false" customHeight="false" outlineLevel="0" collapsed="false">
      <c r="A111" s="49"/>
      <c r="B111" s="49"/>
      <c r="C111" s="50" t="n">
        <v>44197</v>
      </c>
      <c r="D111" s="50" t="n">
        <v>44228</v>
      </c>
      <c r="E111" s="50" t="n">
        <v>44257</v>
      </c>
      <c r="F111" s="50" t="n">
        <v>44293</v>
      </c>
      <c r="G111" s="50" t="n">
        <v>44319</v>
      </c>
      <c r="H111" s="50" t="n">
        <v>44349</v>
      </c>
      <c r="I111" s="50" t="n">
        <v>44378</v>
      </c>
      <c r="J111" s="50" t="n">
        <v>44411</v>
      </c>
      <c r="K111" s="50" t="n">
        <v>44440</v>
      </c>
      <c r="L111" s="50" t="n">
        <v>44470</v>
      </c>
      <c r="M111" s="50" t="n">
        <v>44503</v>
      </c>
      <c r="N111" s="50" t="n">
        <v>44531</v>
      </c>
      <c r="O111" s="50" t="n">
        <v>44561</v>
      </c>
      <c r="P111" s="49"/>
      <c r="Q111" s="49"/>
      <c r="R111" s="49"/>
      <c r="S111" s="49"/>
    </row>
    <row r="112" customFormat="false" ht="12.75" hidden="false" customHeight="false" outlineLevel="0" collapsed="false">
      <c r="A112" s="49"/>
      <c r="B112" s="49"/>
      <c r="C112" s="49"/>
      <c r="D112" s="49" t="s">
        <v>47</v>
      </c>
      <c r="E112" s="49" t="s">
        <v>47</v>
      </c>
      <c r="F112" s="49" t="s">
        <v>47</v>
      </c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 t="s">
        <v>47</v>
      </c>
      <c r="R112" s="49"/>
      <c r="S112" s="49"/>
    </row>
    <row r="113" customFormat="false" ht="12.75" hidden="false" customHeight="false" outlineLevel="0" collapsed="false">
      <c r="A113" s="49" t="s">
        <v>57</v>
      </c>
      <c r="B113" s="49"/>
      <c r="C113" s="51" t="n">
        <v>11464</v>
      </c>
      <c r="D113" s="51" t="n">
        <v>11504</v>
      </c>
      <c r="E113" s="51" t="n">
        <v>11570</v>
      </c>
      <c r="F113" s="51" t="n">
        <v>11687</v>
      </c>
      <c r="G113" s="51" t="n">
        <v>11780</v>
      </c>
      <c r="H113" s="51" t="n">
        <v>11887</v>
      </c>
      <c r="I113" s="51" t="n">
        <v>12075</v>
      </c>
      <c r="J113" s="51" t="n">
        <v>12235</v>
      </c>
      <c r="K113" s="51" t="n">
        <v>12246</v>
      </c>
      <c r="L113" s="51" t="n">
        <v>12412</v>
      </c>
      <c r="M113" s="51" t="n">
        <v>12617</v>
      </c>
      <c r="N113" s="51" t="n">
        <v>12993</v>
      </c>
      <c r="O113" s="51" t="n">
        <v>13157</v>
      </c>
      <c r="P113" s="49"/>
      <c r="Q113" s="49" t="n">
        <f aca="false">SUM(O113-C113)</f>
        <v>1693</v>
      </c>
      <c r="R113" s="49"/>
      <c r="S113" s="49"/>
    </row>
    <row r="114" customFormat="false" ht="12.75" hidden="false" customHeight="false" outlineLevel="0" collapsed="false">
      <c r="A114" s="49" t="s">
        <v>58</v>
      </c>
      <c r="B114" s="49"/>
      <c r="C114" s="51" t="n">
        <v>4084</v>
      </c>
      <c r="D114" s="51" t="n">
        <v>4089</v>
      </c>
      <c r="E114" s="51" t="n">
        <v>4095</v>
      </c>
      <c r="F114" s="51" t="n">
        <v>4105</v>
      </c>
      <c r="G114" s="51" t="n">
        <v>4110</v>
      </c>
      <c r="H114" s="51" t="n">
        <v>4118</v>
      </c>
      <c r="I114" s="51" t="n">
        <v>4130</v>
      </c>
      <c r="J114" s="51" t="n">
        <v>4141</v>
      </c>
      <c r="K114" s="51" t="n">
        <v>4148</v>
      </c>
      <c r="L114" s="51" t="n">
        <v>4160</v>
      </c>
      <c r="M114" s="51" t="n">
        <v>4177</v>
      </c>
      <c r="N114" s="51" t="n">
        <v>4197</v>
      </c>
      <c r="O114" s="51" t="n">
        <v>4207</v>
      </c>
      <c r="P114" s="49"/>
      <c r="Q114" s="49" t="n">
        <f aca="false">SUM(O114-C114)</f>
        <v>123</v>
      </c>
      <c r="R114" s="49"/>
      <c r="S114" s="49"/>
    </row>
    <row r="115" customFormat="false" ht="12.75" hidden="false" customHeight="false" outlineLevel="0" collapsed="false">
      <c r="A115" s="49" t="s">
        <v>20</v>
      </c>
      <c r="B115" s="49"/>
      <c r="C115" s="51" t="n">
        <v>350</v>
      </c>
      <c r="D115" s="51" t="n">
        <v>350</v>
      </c>
      <c r="E115" s="51" t="n">
        <v>351</v>
      </c>
      <c r="F115" s="51" t="n">
        <v>354</v>
      </c>
      <c r="G115" s="51" t="n">
        <v>357</v>
      </c>
      <c r="H115" s="51" t="n">
        <v>359</v>
      </c>
      <c r="I115" s="51" t="n">
        <v>363</v>
      </c>
      <c r="J115" s="51" t="n">
        <v>367</v>
      </c>
      <c r="K115" s="51" t="n">
        <v>367</v>
      </c>
      <c r="L115" s="51" t="n">
        <v>369</v>
      </c>
      <c r="M115" s="51" t="n">
        <v>373</v>
      </c>
      <c r="N115" s="51" t="n">
        <v>376</v>
      </c>
      <c r="O115" s="51" t="n">
        <v>379</v>
      </c>
      <c r="P115" s="49"/>
      <c r="Q115" s="49" t="n">
        <f aca="false">SUM(O115-C115)</f>
        <v>29</v>
      </c>
      <c r="R115" s="49"/>
      <c r="S115" s="49"/>
    </row>
    <row r="116" customFormat="false" ht="12.75" hidden="false" customHeight="false" outlineLevel="0" collapsed="false">
      <c r="A116" s="49" t="s">
        <v>18</v>
      </c>
      <c r="B116" s="49"/>
      <c r="C116" s="100" t="n">
        <v>900</v>
      </c>
      <c r="D116" s="51" t="n">
        <v>900</v>
      </c>
      <c r="E116" s="51" t="n">
        <v>929</v>
      </c>
      <c r="F116" s="51" t="n">
        <v>937</v>
      </c>
      <c r="G116" s="100" t="n">
        <v>960</v>
      </c>
      <c r="H116" s="100" t="n">
        <v>960</v>
      </c>
      <c r="I116" s="100" t="n">
        <v>960</v>
      </c>
      <c r="J116" s="100" t="n">
        <v>960</v>
      </c>
      <c r="K116" s="100" t="n">
        <v>960</v>
      </c>
      <c r="L116" s="100" t="n">
        <v>960</v>
      </c>
      <c r="M116" s="100" t="n">
        <v>960</v>
      </c>
      <c r="N116" s="100" t="n">
        <v>960</v>
      </c>
      <c r="O116" s="100" t="n">
        <v>1169</v>
      </c>
      <c r="P116" s="101"/>
      <c r="Q116" s="51" t="n">
        <f aca="false">SUM(I116-C116)+(O116-J116)</f>
        <v>269</v>
      </c>
      <c r="R116" s="49" t="s">
        <v>59</v>
      </c>
      <c r="S116" s="49"/>
    </row>
    <row r="117" customFormat="false" ht="12.75" hidden="false" customHeight="false" outlineLevel="0" collapsed="false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 t="n">
        <f aca="false">SUM(Q112:Q116)</f>
        <v>2114</v>
      </c>
      <c r="S117" s="49" t="s">
        <v>1</v>
      </c>
    </row>
    <row r="120" customFormat="false" ht="12.75" hidden="false" customHeight="true" outlineLevel="0" collapsed="false"/>
    <row r="121" customFormat="false" ht="15" hidden="false" customHeight="false" outlineLevel="0" collapsed="false">
      <c r="A121" s="102" t="n">
        <v>2022</v>
      </c>
      <c r="B121" s="103" t="s">
        <v>1</v>
      </c>
      <c r="C121" s="104" t="s">
        <v>2</v>
      </c>
      <c r="D121" s="104" t="s">
        <v>3</v>
      </c>
      <c r="E121" s="104" t="s">
        <v>4</v>
      </c>
      <c r="F121" s="104" t="s">
        <v>5</v>
      </c>
      <c r="G121" s="104" t="s">
        <v>6</v>
      </c>
      <c r="H121" s="104" t="s">
        <v>7</v>
      </c>
      <c r="I121" s="104" t="s">
        <v>8</v>
      </c>
      <c r="J121" s="104" t="s">
        <v>9</v>
      </c>
      <c r="K121" s="104" t="s">
        <v>10</v>
      </c>
      <c r="L121" s="104" t="s">
        <v>11</v>
      </c>
      <c r="M121" s="104" t="s">
        <v>12</v>
      </c>
      <c r="N121" s="104" t="s">
        <v>13</v>
      </c>
      <c r="O121" s="103"/>
      <c r="P121" s="103"/>
      <c r="Q121" s="103"/>
      <c r="R121" s="103"/>
      <c r="S121" s="103"/>
    </row>
    <row r="122" customFormat="false" ht="12.75" hidden="false" customHeight="false" outlineLevel="0" collapsed="false">
      <c r="A122" s="103"/>
      <c r="B122" s="103"/>
      <c r="C122" s="105" t="n">
        <v>44573</v>
      </c>
      <c r="D122" s="105" t="n">
        <v>44593</v>
      </c>
      <c r="E122" s="105" t="n">
        <v>44621</v>
      </c>
      <c r="F122" s="105" t="n">
        <v>44652</v>
      </c>
      <c r="G122" s="105" t="n">
        <v>44683</v>
      </c>
      <c r="H122" s="105" t="n">
        <v>44714</v>
      </c>
      <c r="I122" s="105" t="n">
        <v>44743</v>
      </c>
      <c r="J122" s="105" t="n">
        <v>44774</v>
      </c>
      <c r="K122" s="105" t="n">
        <v>44805</v>
      </c>
      <c r="L122" s="105" t="n">
        <v>44839</v>
      </c>
      <c r="M122" s="105" t="n">
        <v>44867</v>
      </c>
      <c r="N122" s="105" t="n">
        <v>44896</v>
      </c>
      <c r="O122" s="105" t="n">
        <v>44926</v>
      </c>
      <c r="P122" s="103"/>
      <c r="Q122" s="103"/>
      <c r="R122" s="103"/>
      <c r="S122" s="103"/>
    </row>
    <row r="123" customFormat="false" ht="12.75" hidden="false" customHeight="false" outlineLevel="0" collapsed="false">
      <c r="A123" s="103"/>
      <c r="B123" s="103"/>
      <c r="C123" s="103"/>
      <c r="D123" s="103" t="s">
        <v>47</v>
      </c>
      <c r="E123" s="103" t="s">
        <v>47</v>
      </c>
      <c r="F123" s="103" t="s">
        <v>47</v>
      </c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 t="s">
        <v>47</v>
      </c>
      <c r="R123" s="103"/>
      <c r="S123" s="103"/>
    </row>
    <row r="124" customFormat="false" ht="12.75" hidden="false" customHeight="false" outlineLevel="0" collapsed="false">
      <c r="A124" s="103" t="s">
        <v>57</v>
      </c>
      <c r="B124" s="103"/>
      <c r="C124" s="80" t="n">
        <v>790</v>
      </c>
      <c r="D124" s="80" t="n">
        <v>947</v>
      </c>
      <c r="E124" s="80" t="n">
        <v>1150</v>
      </c>
      <c r="F124" s="80" t="n">
        <v>1375</v>
      </c>
      <c r="G124" s="80" t="n">
        <v>1506</v>
      </c>
      <c r="H124" s="80" t="n">
        <v>1739</v>
      </c>
      <c r="I124" s="80" t="n">
        <v>1871</v>
      </c>
      <c r="J124" s="80" t="n">
        <v>2037</v>
      </c>
      <c r="K124" s="80" t="n">
        <v>2178</v>
      </c>
      <c r="L124" s="80" t="n">
        <v>2362</v>
      </c>
      <c r="M124" s="80" t="n">
        <v>2543</v>
      </c>
      <c r="N124" s="80" t="n">
        <v>2738</v>
      </c>
      <c r="O124" s="80" t="n">
        <v>2888</v>
      </c>
      <c r="P124" s="103"/>
      <c r="Q124" s="103" t="n">
        <f aca="false">SUM(O124-C124)</f>
        <v>2098</v>
      </c>
      <c r="R124" s="103"/>
      <c r="S124" s="103"/>
    </row>
    <row r="125" customFormat="false" ht="12.75" hidden="false" customHeight="false" outlineLevel="0" collapsed="false">
      <c r="A125" s="103" t="s">
        <v>58</v>
      </c>
      <c r="B125" s="103"/>
      <c r="C125" s="80" t="n">
        <v>4211</v>
      </c>
      <c r="D125" s="80" t="n">
        <v>4224</v>
      </c>
      <c r="E125" s="80" t="n">
        <v>4241</v>
      </c>
      <c r="F125" s="80" t="n">
        <v>4263</v>
      </c>
      <c r="G125" s="80" t="n">
        <v>4275</v>
      </c>
      <c r="H125" s="80" t="n">
        <v>4311</v>
      </c>
      <c r="I125" s="80" t="n">
        <v>4323</v>
      </c>
      <c r="J125" s="80" t="n">
        <v>4333</v>
      </c>
      <c r="K125" s="80" t="n">
        <v>4339</v>
      </c>
      <c r="L125" s="80" t="n">
        <v>4354</v>
      </c>
      <c r="M125" s="80" t="n">
        <v>4368</v>
      </c>
      <c r="N125" s="80" t="n">
        <v>4380</v>
      </c>
      <c r="O125" s="80" t="n">
        <v>4387</v>
      </c>
      <c r="P125" s="103"/>
      <c r="Q125" s="103" t="n">
        <f aca="false">SUM(O125-C125)</f>
        <v>176</v>
      </c>
      <c r="R125" s="103"/>
      <c r="S125" s="103"/>
    </row>
    <row r="126" customFormat="false" ht="12.75" hidden="false" customHeight="false" outlineLevel="0" collapsed="false">
      <c r="A126" s="103" t="s">
        <v>20</v>
      </c>
      <c r="B126" s="103"/>
      <c r="C126" s="80" t="n">
        <v>379</v>
      </c>
      <c r="D126" s="80" t="n">
        <v>395</v>
      </c>
      <c r="E126" s="80" t="n">
        <v>401</v>
      </c>
      <c r="F126" s="80" t="n">
        <v>404</v>
      </c>
      <c r="G126" s="80" t="n">
        <v>407</v>
      </c>
      <c r="H126" s="80" t="n">
        <v>412</v>
      </c>
      <c r="I126" s="80" t="n">
        <v>415</v>
      </c>
      <c r="J126" s="80" t="n">
        <v>419</v>
      </c>
      <c r="K126" s="80" t="n">
        <v>420</v>
      </c>
      <c r="L126" s="80" t="n">
        <v>423</v>
      </c>
      <c r="M126" s="80" t="n">
        <v>427</v>
      </c>
      <c r="N126" s="80" t="n">
        <v>433</v>
      </c>
      <c r="O126" s="80" t="n">
        <v>436</v>
      </c>
      <c r="P126" s="103"/>
      <c r="Q126" s="103" t="n">
        <f aca="false">SUM(O126-C126)</f>
        <v>57</v>
      </c>
      <c r="R126" s="103"/>
      <c r="S126" s="103"/>
    </row>
    <row r="127" customFormat="false" ht="12.75" hidden="false" customHeight="false" outlineLevel="0" collapsed="false">
      <c r="A127" s="103" t="s">
        <v>18</v>
      </c>
      <c r="B127" s="103"/>
      <c r="C127" s="80" t="n">
        <v>0</v>
      </c>
      <c r="D127" s="80"/>
      <c r="E127" s="80"/>
      <c r="F127" s="80"/>
      <c r="G127" s="80" t="n">
        <v>347</v>
      </c>
      <c r="H127" s="80" t="n">
        <v>371</v>
      </c>
      <c r="I127" s="80" t="n">
        <v>398</v>
      </c>
      <c r="J127" s="80" t="n">
        <v>415</v>
      </c>
      <c r="K127" s="80" t="n">
        <v>434</v>
      </c>
      <c r="L127" s="80" t="n">
        <v>450</v>
      </c>
      <c r="M127" s="80" t="n">
        <v>462</v>
      </c>
      <c r="N127" s="80" t="n">
        <v>475</v>
      </c>
      <c r="O127" s="80" t="n">
        <v>483</v>
      </c>
      <c r="P127" s="103"/>
      <c r="Q127" s="80" t="n">
        <f aca="false">SUM(I127-C127)+(O127-J127)</f>
        <v>466</v>
      </c>
      <c r="R127" s="103" t="s">
        <v>59</v>
      </c>
      <c r="S127" s="103"/>
    </row>
    <row r="128" customFormat="false" ht="12.75" hidden="false" customHeight="false" outlineLevel="0" collapsed="false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 t="n">
        <f aca="false">SUM(Q123:Q127)</f>
        <v>2797</v>
      </c>
      <c r="S128" s="103" t="s">
        <v>1</v>
      </c>
    </row>
    <row r="131" customFormat="false" ht="15" hidden="false" customHeight="false" outlineLevel="0" collapsed="false">
      <c r="A131" s="39" t="n">
        <v>2023</v>
      </c>
      <c r="B131" s="42" t="s">
        <v>1</v>
      </c>
      <c r="C131" s="96" t="s">
        <v>2</v>
      </c>
      <c r="D131" s="96" t="s">
        <v>3</v>
      </c>
      <c r="E131" s="96" t="s">
        <v>4</v>
      </c>
      <c r="F131" s="96" t="s">
        <v>5</v>
      </c>
      <c r="G131" s="96" t="s">
        <v>6</v>
      </c>
      <c r="H131" s="96" t="s">
        <v>7</v>
      </c>
      <c r="I131" s="96" t="s">
        <v>8</v>
      </c>
      <c r="J131" s="96" t="s">
        <v>9</v>
      </c>
      <c r="K131" s="96" t="s">
        <v>10</v>
      </c>
      <c r="L131" s="96" t="s">
        <v>11</v>
      </c>
      <c r="M131" s="96" t="s">
        <v>12</v>
      </c>
      <c r="N131" s="96" t="s">
        <v>13</v>
      </c>
      <c r="O131" s="42"/>
      <c r="P131" s="42"/>
      <c r="Q131" s="42"/>
      <c r="R131" s="42"/>
      <c r="S131" s="42"/>
    </row>
    <row r="132" customFormat="false" ht="12.75" hidden="false" customHeight="false" outlineLevel="0" collapsed="false">
      <c r="A132" s="42"/>
      <c r="B132" s="42"/>
      <c r="C132" s="43" t="n">
        <v>44938</v>
      </c>
      <c r="D132" s="43" t="n">
        <v>44958</v>
      </c>
      <c r="E132" s="43" t="n">
        <v>44986</v>
      </c>
      <c r="F132" s="43" t="n">
        <v>45017</v>
      </c>
      <c r="G132" s="43" t="n">
        <v>45048</v>
      </c>
      <c r="H132" s="43" t="n">
        <v>45079</v>
      </c>
      <c r="I132" s="43" t="n">
        <v>45108</v>
      </c>
      <c r="J132" s="43" t="n">
        <v>45139</v>
      </c>
      <c r="K132" s="43" t="n">
        <v>45170</v>
      </c>
      <c r="L132" s="43" t="n">
        <v>45204</v>
      </c>
      <c r="M132" s="43" t="n">
        <v>45232</v>
      </c>
      <c r="N132" s="43" t="n">
        <v>45264</v>
      </c>
      <c r="O132" s="43" t="n">
        <v>45291</v>
      </c>
      <c r="P132" s="42"/>
      <c r="Q132" s="42"/>
      <c r="R132" s="42"/>
      <c r="S132" s="42"/>
    </row>
    <row r="133" customFormat="false" ht="12.75" hidden="false" customHeight="false" outlineLevel="0" collapsed="false">
      <c r="A133" s="42"/>
      <c r="B133" s="42"/>
      <c r="C133" s="42"/>
      <c r="D133" s="42" t="s">
        <v>47</v>
      </c>
      <c r="E133" s="42" t="s">
        <v>47</v>
      </c>
      <c r="F133" s="42" t="s">
        <v>47</v>
      </c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 t="s">
        <v>47</v>
      </c>
      <c r="R133" s="42"/>
      <c r="S133" s="42"/>
    </row>
    <row r="134" customFormat="false" ht="12.75" hidden="false" customHeight="false" outlineLevel="0" collapsed="false">
      <c r="A134" s="42" t="s">
        <v>57</v>
      </c>
      <c r="B134" s="42"/>
      <c r="C134" s="44" t="n">
        <v>2888</v>
      </c>
      <c r="D134" s="44" t="n">
        <v>3108</v>
      </c>
      <c r="E134" s="44" t="n">
        <v>3299</v>
      </c>
      <c r="F134" s="44" t="n">
        <v>3540</v>
      </c>
      <c r="G134" s="44" t="n">
        <v>3687</v>
      </c>
      <c r="H134" s="44" t="n">
        <v>3876</v>
      </c>
      <c r="I134" s="44" t="n">
        <v>4044</v>
      </c>
      <c r="J134" s="44" t="n">
        <v>4176</v>
      </c>
      <c r="K134" s="44" t="n">
        <v>4278</v>
      </c>
      <c r="L134" s="44" t="n">
        <v>4450</v>
      </c>
      <c r="M134" s="44" t="n">
        <v>4646</v>
      </c>
      <c r="N134" s="44" t="n">
        <v>4859</v>
      </c>
      <c r="O134" s="44" t="n">
        <v>5005</v>
      </c>
      <c r="P134" s="42"/>
      <c r="Q134" s="42" t="n">
        <f aca="false">SUM(O134-C134)</f>
        <v>2117</v>
      </c>
      <c r="R134" s="42"/>
      <c r="S134" s="42"/>
    </row>
    <row r="135" customFormat="false" ht="12.75" hidden="false" customHeight="false" outlineLevel="0" collapsed="false">
      <c r="A135" s="42" t="s">
        <v>58</v>
      </c>
      <c r="B135" s="42"/>
      <c r="C135" s="44" t="n">
        <v>4387</v>
      </c>
      <c r="D135" s="44" t="n">
        <v>4399</v>
      </c>
      <c r="E135" s="44" t="n">
        <v>4411</v>
      </c>
      <c r="F135" s="44" t="n">
        <v>4437</v>
      </c>
      <c r="G135" s="44" t="n">
        <v>4446</v>
      </c>
      <c r="H135" s="44" t="n">
        <v>4460</v>
      </c>
      <c r="I135" s="44" t="n">
        <v>4476</v>
      </c>
      <c r="J135" s="44" t="n">
        <v>4488</v>
      </c>
      <c r="K135" s="44" t="n">
        <v>4497</v>
      </c>
      <c r="L135" s="44" t="n">
        <v>4513</v>
      </c>
      <c r="M135" s="44" t="n">
        <v>4530</v>
      </c>
      <c r="N135" s="44" t="n">
        <v>4547</v>
      </c>
      <c r="O135" s="44" t="n">
        <v>4560</v>
      </c>
      <c r="P135" s="42"/>
      <c r="Q135" s="42" t="n">
        <f aca="false">SUM(O135-C135)</f>
        <v>173</v>
      </c>
      <c r="R135" s="42"/>
      <c r="S135" s="42"/>
    </row>
    <row r="136" customFormat="false" ht="12.75" hidden="false" customHeight="false" outlineLevel="0" collapsed="false">
      <c r="A136" s="42" t="s">
        <v>20</v>
      </c>
      <c r="B136" s="42"/>
      <c r="C136" s="44" t="n">
        <v>436</v>
      </c>
      <c r="D136" s="44" t="n">
        <v>441</v>
      </c>
      <c r="E136" s="44" t="n">
        <v>445</v>
      </c>
      <c r="F136" s="44" t="n">
        <v>449</v>
      </c>
      <c r="G136" s="44" t="n">
        <v>452</v>
      </c>
      <c r="H136" s="44" t="n">
        <v>456</v>
      </c>
      <c r="I136" s="44" t="n">
        <v>460</v>
      </c>
      <c r="J136" s="44" t="n">
        <v>464</v>
      </c>
      <c r="K136" s="44" t="n">
        <v>469</v>
      </c>
      <c r="L136" s="44" t="n">
        <v>474</v>
      </c>
      <c r="M136" s="44" t="n">
        <v>478</v>
      </c>
      <c r="N136" s="44" t="n">
        <v>482</v>
      </c>
      <c r="O136" s="44" t="n">
        <v>485</v>
      </c>
      <c r="P136" s="42"/>
      <c r="Q136" s="42" t="n">
        <f aca="false">SUM(O136-C136)</f>
        <v>49</v>
      </c>
      <c r="R136" s="42"/>
      <c r="S136" s="42"/>
    </row>
    <row r="137" customFormat="false" ht="12.75" hidden="false" customHeight="false" outlineLevel="0" collapsed="false">
      <c r="A137" s="42" t="s">
        <v>18</v>
      </c>
      <c r="B137" s="42"/>
      <c r="C137" s="97" t="n">
        <v>483</v>
      </c>
      <c r="D137" s="44" t="n">
        <v>499</v>
      </c>
      <c r="E137" s="44" t="n">
        <v>572</v>
      </c>
      <c r="F137" s="44" t="n">
        <v>642</v>
      </c>
      <c r="G137" s="97" t="n">
        <v>708</v>
      </c>
      <c r="H137" s="97" t="n">
        <v>783</v>
      </c>
      <c r="I137" s="97" t="n">
        <v>866</v>
      </c>
      <c r="J137" s="97" t="n">
        <v>933</v>
      </c>
      <c r="K137" s="97" t="n">
        <v>1005</v>
      </c>
      <c r="L137" s="97" t="n">
        <v>1081</v>
      </c>
      <c r="M137" s="97" t="n">
        <v>1161</v>
      </c>
      <c r="N137" s="97" t="n">
        <v>1211</v>
      </c>
      <c r="O137" s="97" t="n">
        <v>1292</v>
      </c>
      <c r="P137" s="98"/>
      <c r="Q137" s="44" t="n">
        <f aca="false">SUM(I137-C137)+(O137-J137)</f>
        <v>742</v>
      </c>
      <c r="R137" s="42" t="s">
        <v>59</v>
      </c>
      <c r="S137" s="42"/>
    </row>
    <row r="138" customFormat="false" ht="12.75" hidden="false" customHeight="fals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 t="n">
        <f aca="false">SUM(Q133:Q137)</f>
        <v>3081</v>
      </c>
      <c r="S138" s="42" t="s">
        <v>1</v>
      </c>
    </row>
    <row r="141" customFormat="false" ht="15" hidden="false" customHeight="false" outlineLevel="0" collapsed="false">
      <c r="A141" s="39" t="n">
        <v>2024</v>
      </c>
      <c r="B141" s="42" t="s">
        <v>1</v>
      </c>
      <c r="C141" s="96" t="s">
        <v>2</v>
      </c>
      <c r="D141" s="96" t="s">
        <v>3</v>
      </c>
      <c r="E141" s="96" t="s">
        <v>4</v>
      </c>
      <c r="F141" s="96" t="s">
        <v>5</v>
      </c>
      <c r="G141" s="96" t="s">
        <v>6</v>
      </c>
      <c r="H141" s="96" t="s">
        <v>7</v>
      </c>
      <c r="I141" s="96" t="s">
        <v>8</v>
      </c>
      <c r="J141" s="96" t="s">
        <v>9</v>
      </c>
      <c r="K141" s="96" t="s">
        <v>10</v>
      </c>
      <c r="L141" s="96" t="s">
        <v>11</v>
      </c>
      <c r="M141" s="96" t="s">
        <v>12</v>
      </c>
      <c r="N141" s="96" t="s">
        <v>13</v>
      </c>
      <c r="O141" s="42"/>
      <c r="P141" s="42"/>
      <c r="Q141" s="42"/>
      <c r="R141" s="42"/>
      <c r="S141" s="42"/>
    </row>
    <row r="142" customFormat="false" ht="12.75" hidden="false" customHeight="false" outlineLevel="0" collapsed="false">
      <c r="A142" s="42"/>
      <c r="B142" s="42"/>
      <c r="C142" s="43" t="n">
        <v>45303</v>
      </c>
      <c r="D142" s="43" t="n">
        <v>45323</v>
      </c>
      <c r="E142" s="43" t="n">
        <v>45352</v>
      </c>
      <c r="F142" s="43" t="n">
        <v>45384</v>
      </c>
      <c r="G142" s="43" t="n">
        <v>45414</v>
      </c>
      <c r="H142" s="43" t="n">
        <v>45446</v>
      </c>
      <c r="I142" s="43" t="n">
        <v>45474</v>
      </c>
      <c r="J142" s="43" t="n">
        <v>45505</v>
      </c>
      <c r="K142" s="43" t="n">
        <v>45537</v>
      </c>
      <c r="L142" s="43" t="n">
        <v>45566</v>
      </c>
      <c r="M142" s="43" t="n">
        <v>45600</v>
      </c>
      <c r="N142" s="43" t="n">
        <v>45628</v>
      </c>
      <c r="O142" s="43" t="n">
        <v>45657</v>
      </c>
      <c r="P142" s="42"/>
      <c r="Q142" s="42"/>
      <c r="R142" s="42"/>
      <c r="S142" s="42"/>
    </row>
    <row r="143" customFormat="false" ht="12.75" hidden="false" customHeight="false" outlineLevel="0" collapsed="false">
      <c r="A143" s="42"/>
      <c r="B143" s="42"/>
      <c r="C143" s="42"/>
      <c r="D143" s="42" t="s">
        <v>47</v>
      </c>
      <c r="E143" s="42" t="s">
        <v>47</v>
      </c>
      <c r="F143" s="42" t="s">
        <v>47</v>
      </c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 t="s">
        <v>47</v>
      </c>
      <c r="R143" s="42"/>
      <c r="S143" s="42"/>
    </row>
    <row r="144" customFormat="false" ht="12.75" hidden="false" customHeight="false" outlineLevel="0" collapsed="false">
      <c r="A144" s="42" t="s">
        <v>57</v>
      </c>
      <c r="B144" s="42"/>
      <c r="C144" s="44" t="n">
        <v>5005</v>
      </c>
      <c r="D144" s="44" t="n">
        <v>5159</v>
      </c>
      <c r="E144" s="44" t="n">
        <v>5310</v>
      </c>
      <c r="F144" s="44" t="n">
        <v>5478</v>
      </c>
      <c r="G144" s="44" t="n">
        <v>5670</v>
      </c>
      <c r="H144" s="44" t="n">
        <v>5796</v>
      </c>
      <c r="I144" s="44" t="n">
        <v>6028</v>
      </c>
      <c r="J144" s="44" t="n">
        <v>6220.1</v>
      </c>
      <c r="K144" s="44" t="n">
        <v>6381.5</v>
      </c>
      <c r="L144" s="44" t="n">
        <v>6566.8</v>
      </c>
      <c r="M144" s="44" t="n">
        <v>6792.16</v>
      </c>
      <c r="N144" s="44" t="n">
        <v>7028</v>
      </c>
      <c r="O144" s="44" t="n">
        <v>7175</v>
      </c>
      <c r="P144" s="42"/>
      <c r="Q144" s="42" t="n">
        <f aca="false">SUM(O144-C144)</f>
        <v>2170</v>
      </c>
      <c r="R144" s="42"/>
      <c r="S144" s="42"/>
    </row>
    <row r="145" customFormat="false" ht="12.75" hidden="false" customHeight="false" outlineLevel="0" collapsed="false">
      <c r="A145" s="42" t="s">
        <v>58</v>
      </c>
      <c r="B145" s="42"/>
      <c r="C145" s="44" t="n">
        <v>4560</v>
      </c>
      <c r="D145" s="44" t="n">
        <v>4573</v>
      </c>
      <c r="E145" s="44" t="n">
        <v>4595</v>
      </c>
      <c r="F145" s="44" t="n">
        <v>4619</v>
      </c>
      <c r="G145" s="44" t="n">
        <v>4655</v>
      </c>
      <c r="H145" s="44" t="n">
        <v>4685</v>
      </c>
      <c r="I145" s="44" t="n">
        <v>4730</v>
      </c>
      <c r="J145" s="44" t="n">
        <v>4779.1</v>
      </c>
      <c r="K145" s="44" t="n">
        <v>4832</v>
      </c>
      <c r="L145" s="44" t="n">
        <v>4857.8</v>
      </c>
      <c r="M145" s="44" t="n">
        <v>4927.33</v>
      </c>
      <c r="N145" s="44" t="n">
        <v>4977</v>
      </c>
      <c r="O145" s="44" t="n">
        <v>5009.86</v>
      </c>
      <c r="P145" s="42"/>
      <c r="Q145" s="42" t="n">
        <f aca="false">SUM(O145-C145)</f>
        <v>449.86</v>
      </c>
      <c r="R145" s="42"/>
      <c r="S145" s="42"/>
    </row>
    <row r="146" customFormat="false" ht="12.75" hidden="false" customHeight="false" outlineLevel="0" collapsed="false">
      <c r="A146" s="42" t="s">
        <v>20</v>
      </c>
      <c r="B146" s="42"/>
      <c r="C146" s="44" t="n">
        <v>21</v>
      </c>
      <c r="D146" s="44" t="n">
        <v>25</v>
      </c>
      <c r="E146" s="44" t="n">
        <v>45</v>
      </c>
      <c r="F146" s="44" t="n">
        <v>57</v>
      </c>
      <c r="G146" s="44" t="n">
        <v>61</v>
      </c>
      <c r="H146" s="44" t="n">
        <v>63</v>
      </c>
      <c r="I146" s="44" t="n">
        <v>67</v>
      </c>
      <c r="J146" s="44" t="n">
        <v>71.2</v>
      </c>
      <c r="K146" s="44" t="n">
        <v>74.6</v>
      </c>
      <c r="L146" s="44" t="n">
        <v>77.2</v>
      </c>
      <c r="M146" s="44" t="n">
        <v>80.89</v>
      </c>
      <c r="N146" s="44" t="n">
        <v>89.4</v>
      </c>
      <c r="O146" s="44" t="n">
        <v>92.5</v>
      </c>
      <c r="P146" s="42"/>
      <c r="Q146" s="42" t="n">
        <f aca="false">SUM(O146-C146)</f>
        <v>71.5</v>
      </c>
      <c r="R146" s="42"/>
      <c r="S146" s="42"/>
    </row>
    <row r="147" customFormat="false" ht="12.75" hidden="false" customHeight="false" outlineLevel="0" collapsed="false">
      <c r="A147" s="42" t="s">
        <v>18</v>
      </c>
      <c r="B147" s="42"/>
      <c r="C147" s="97" t="n">
        <v>1292</v>
      </c>
      <c r="D147" s="44" t="n">
        <v>1350</v>
      </c>
      <c r="E147" s="44" t="n">
        <v>1407</v>
      </c>
      <c r="F147" s="44" t="n">
        <v>1464</v>
      </c>
      <c r="G147" s="97" t="n">
        <v>1514</v>
      </c>
      <c r="H147" s="97" t="n">
        <v>1568</v>
      </c>
      <c r="I147" s="97" t="n">
        <v>1631</v>
      </c>
      <c r="J147" s="97" t="n">
        <v>1700.3</v>
      </c>
      <c r="K147" s="97" t="n">
        <v>1748.5</v>
      </c>
      <c r="L147" s="97" t="n">
        <v>1798.5</v>
      </c>
      <c r="M147" s="97" t="n">
        <v>1840.34</v>
      </c>
      <c r="N147" s="97" t="n">
        <v>1859.71</v>
      </c>
      <c r="O147" s="97" t="n">
        <v>1859.16</v>
      </c>
      <c r="P147" s="98"/>
      <c r="Q147" s="44" t="n">
        <f aca="false">SUM(I147-C147)+(O147-J147)</f>
        <v>497.86</v>
      </c>
      <c r="R147" s="42" t="s">
        <v>59</v>
      </c>
      <c r="S147" s="42"/>
    </row>
    <row r="148" customFormat="false" ht="12.75" hidden="false" customHeight="fals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 t="n">
        <f aca="false">SUM(Q143:Q147)</f>
        <v>3189.22</v>
      </c>
      <c r="S148" s="42" t="s">
        <v>1</v>
      </c>
    </row>
    <row r="151" customFormat="false" ht="15" hidden="false" customHeight="false" outlineLevel="0" collapsed="false">
      <c r="A151" s="39" t="n">
        <v>2025</v>
      </c>
      <c r="B151" s="42" t="s">
        <v>1</v>
      </c>
      <c r="C151" s="96" t="s">
        <v>2</v>
      </c>
      <c r="D151" s="96" t="s">
        <v>3</v>
      </c>
      <c r="E151" s="96" t="s">
        <v>4</v>
      </c>
      <c r="F151" s="96" t="s">
        <v>5</v>
      </c>
      <c r="G151" s="96" t="s">
        <v>6</v>
      </c>
      <c r="H151" s="96" t="s">
        <v>7</v>
      </c>
      <c r="I151" s="96" t="s">
        <v>8</v>
      </c>
      <c r="J151" s="96" t="s">
        <v>9</v>
      </c>
      <c r="K151" s="96" t="s">
        <v>10</v>
      </c>
      <c r="L151" s="96" t="s">
        <v>11</v>
      </c>
      <c r="M151" s="96" t="s">
        <v>12</v>
      </c>
      <c r="N151" s="96" t="s">
        <v>13</v>
      </c>
      <c r="O151" s="42"/>
      <c r="P151" s="42"/>
      <c r="Q151" s="42"/>
      <c r="R151" s="42"/>
      <c r="S151" s="42"/>
    </row>
    <row r="152" customFormat="false" ht="12.75" hidden="false" customHeight="false" outlineLevel="0" collapsed="false">
      <c r="A152" s="42"/>
      <c r="B152" s="42"/>
      <c r="C152" s="43" t="n">
        <v>45669</v>
      </c>
      <c r="D152" s="43" t="n">
        <v>45689</v>
      </c>
      <c r="E152" s="43" t="n">
        <v>45717</v>
      </c>
      <c r="F152" s="43" t="n">
        <v>45749</v>
      </c>
      <c r="G152" s="43" t="n">
        <v>45782</v>
      </c>
      <c r="H152" s="43" t="n">
        <v>45811</v>
      </c>
      <c r="I152" s="43" t="n">
        <v>45839</v>
      </c>
      <c r="J152" s="43" t="n">
        <v>45870</v>
      </c>
      <c r="K152" s="43" t="n">
        <v>45902</v>
      </c>
      <c r="L152" s="43" t="n">
        <v>45931</v>
      </c>
      <c r="M152" s="43" t="n">
        <v>45964</v>
      </c>
      <c r="N152" s="43" t="n">
        <v>45993</v>
      </c>
      <c r="O152" s="43" t="n">
        <v>46022</v>
      </c>
      <c r="P152" s="42"/>
      <c r="Q152" s="42"/>
      <c r="R152" s="42"/>
      <c r="S152" s="42"/>
    </row>
    <row r="153" customFormat="false" ht="12.75" hidden="false" customHeight="false" outlineLevel="0" collapsed="false">
      <c r="A153" s="42"/>
      <c r="B153" s="42"/>
      <c r="C153" s="42"/>
      <c r="D153" s="42" t="s">
        <v>47</v>
      </c>
      <c r="E153" s="42" t="s">
        <v>47</v>
      </c>
      <c r="F153" s="42" t="s">
        <v>47</v>
      </c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 t="s">
        <v>47</v>
      </c>
      <c r="R153" s="42"/>
      <c r="S153" s="42"/>
    </row>
    <row r="154" customFormat="false" ht="12.75" hidden="false" customHeight="false" outlineLevel="0" collapsed="false">
      <c r="A154" s="42" t="s">
        <v>57</v>
      </c>
      <c r="B154" s="42"/>
      <c r="C154" s="44" t="n">
        <v>7175</v>
      </c>
      <c r="D154" s="44" t="n">
        <v>7391.2</v>
      </c>
      <c r="E154" s="44" t="n">
        <v>7595.8</v>
      </c>
      <c r="F154" s="44" t="n">
        <v>7793.3</v>
      </c>
      <c r="G154" s="44" t="n">
        <v>7945.6</v>
      </c>
      <c r="H154" s="44" t="n">
        <v>8183.4</v>
      </c>
      <c r="I154" s="44" t="n">
        <v>8330.9</v>
      </c>
      <c r="J154" s="44" t="n">
        <v>8539.9</v>
      </c>
      <c r="K154" s="44" t="n">
        <v>8696</v>
      </c>
      <c r="L154" s="44" t="n">
        <v>8849.3</v>
      </c>
      <c r="M154" s="44" t="n">
        <v>9036.3</v>
      </c>
      <c r="N154" s="44" t="n">
        <v>9242.2</v>
      </c>
      <c r="O154" s="44" t="n">
        <v>9384.6</v>
      </c>
      <c r="P154" s="42"/>
      <c r="Q154" s="42" t="n">
        <f aca="false">SUM(O154-C154)</f>
        <v>2209.6</v>
      </c>
      <c r="R154" s="42"/>
      <c r="S154" s="42"/>
    </row>
    <row r="155" customFormat="false" ht="12.75" hidden="false" customHeight="false" outlineLevel="0" collapsed="false">
      <c r="A155" s="42" t="s">
        <v>58</v>
      </c>
      <c r="B155" s="42"/>
      <c r="C155" s="44" t="n">
        <v>5009.86</v>
      </c>
      <c r="D155" s="44" t="n">
        <v>5050.25</v>
      </c>
      <c r="E155" s="44" t="n">
        <v>5105.8</v>
      </c>
      <c r="F155" s="44" t="n">
        <v>5151.9</v>
      </c>
      <c r="G155" s="44" t="n">
        <v>5183.87</v>
      </c>
      <c r="H155" s="44" t="n">
        <v>5225.1</v>
      </c>
      <c r="I155" s="44" t="n">
        <v>5258.84</v>
      </c>
      <c r="J155" s="44" t="n">
        <v>5300.3</v>
      </c>
      <c r="K155" s="44" t="n">
        <v>5321</v>
      </c>
      <c r="L155" s="44" t="n">
        <v>5351.3</v>
      </c>
      <c r="M155" s="44" t="n">
        <v>5383.9</v>
      </c>
      <c r="N155" s="44" t="n">
        <v>5425.53</v>
      </c>
      <c r="O155" s="44" t="n">
        <v>5459.65</v>
      </c>
      <c r="P155" s="42"/>
      <c r="Q155" s="42" t="n">
        <f aca="false">SUM(O155-C155)</f>
        <v>449.79</v>
      </c>
      <c r="R155" s="42"/>
      <c r="S155" s="42"/>
    </row>
    <row r="156" customFormat="false" ht="12.75" hidden="false" customHeight="false" outlineLevel="0" collapsed="false">
      <c r="A156" s="42" t="s">
        <v>20</v>
      </c>
      <c r="B156" s="42"/>
      <c r="C156" s="44" t="n">
        <v>92.5</v>
      </c>
      <c r="D156" s="44" t="n">
        <v>96</v>
      </c>
      <c r="E156" s="44" t="n">
        <v>99.5</v>
      </c>
      <c r="F156" s="44" t="n">
        <v>102.87</v>
      </c>
      <c r="G156" s="44" t="n">
        <v>106.4</v>
      </c>
      <c r="H156" s="44" t="n">
        <v>129.7</v>
      </c>
      <c r="I156" s="44" t="n">
        <v>132.3</v>
      </c>
      <c r="J156" s="44" t="n">
        <v>139.4</v>
      </c>
      <c r="K156" s="44" t="n">
        <v>147</v>
      </c>
      <c r="L156" s="44" t="n">
        <v>150.2</v>
      </c>
      <c r="M156" s="44" t="n">
        <v>155.1</v>
      </c>
      <c r="N156" s="44" t="n">
        <v>159.8</v>
      </c>
      <c r="O156" s="44" t="n">
        <v>162</v>
      </c>
      <c r="P156" s="42"/>
      <c r="Q156" s="42" t="n">
        <f aca="false">SUM(O156-C156)</f>
        <v>69.5</v>
      </c>
      <c r="R156" s="42"/>
      <c r="S156" s="42"/>
    </row>
    <row r="157" customFormat="false" ht="12.75" hidden="false" customHeight="false" outlineLevel="0" collapsed="false">
      <c r="A157" s="42" t="s">
        <v>18</v>
      </c>
      <c r="B157" s="42"/>
      <c r="C157" s="97" t="n">
        <v>1859.16</v>
      </c>
      <c r="D157" s="44" t="n">
        <v>1900.25</v>
      </c>
      <c r="E157" s="44" t="n">
        <v>1924.1</v>
      </c>
      <c r="F157" s="44" t="n">
        <v>1955.3</v>
      </c>
      <c r="G157" s="97" t="n">
        <v>1987.3</v>
      </c>
      <c r="H157" s="97" t="n">
        <v>2015.1</v>
      </c>
      <c r="I157" s="97" t="n">
        <v>2042.7</v>
      </c>
      <c r="J157" s="97" t="n">
        <v>2067.7</v>
      </c>
      <c r="K157" s="97" t="n">
        <v>2079</v>
      </c>
      <c r="L157" s="97" t="n">
        <v>2097</v>
      </c>
      <c r="M157" s="97" t="n">
        <v>2129.3</v>
      </c>
      <c r="N157" s="97" t="n">
        <v>2152.3</v>
      </c>
      <c r="O157" s="97" t="n">
        <v>2166.5</v>
      </c>
      <c r="P157" s="98"/>
      <c r="Q157" s="44" t="n">
        <f aca="false">SUM((O157-C157))</f>
        <v>307.34</v>
      </c>
      <c r="R157" s="42" t="s">
        <v>59</v>
      </c>
      <c r="S157" s="42"/>
    </row>
    <row r="158" customFormat="false" ht="12.75" hidden="false" customHeight="fals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 t="n">
        <f aca="false">SUM(Q153:Q157)</f>
        <v>3036.23</v>
      </c>
      <c r="S158" s="42" t="s">
        <v>1</v>
      </c>
    </row>
    <row r="161" customFormat="false" ht="15" hidden="false" customHeight="false" outlineLevel="0" collapsed="false">
      <c r="A161" s="39" t="n">
        <v>2026</v>
      </c>
      <c r="B161" s="42" t="s">
        <v>1</v>
      </c>
      <c r="C161" s="96" t="s">
        <v>2</v>
      </c>
      <c r="D161" s="96" t="s">
        <v>3</v>
      </c>
      <c r="E161" s="96" t="s">
        <v>4</v>
      </c>
      <c r="F161" s="96" t="s">
        <v>5</v>
      </c>
      <c r="G161" s="96" t="s">
        <v>6</v>
      </c>
      <c r="H161" s="96" t="s">
        <v>7</v>
      </c>
      <c r="I161" s="96" t="s">
        <v>8</v>
      </c>
      <c r="J161" s="96" t="s">
        <v>9</v>
      </c>
      <c r="K161" s="96" t="s">
        <v>10</v>
      </c>
      <c r="L161" s="96" t="s">
        <v>11</v>
      </c>
      <c r="M161" s="96" t="s">
        <v>12</v>
      </c>
      <c r="N161" s="96" t="s">
        <v>13</v>
      </c>
      <c r="O161" s="42"/>
      <c r="P161" s="42"/>
      <c r="Q161" s="42"/>
      <c r="R161" s="42"/>
      <c r="S161" s="42"/>
    </row>
    <row r="162" customFormat="false" ht="12.75" hidden="false" customHeight="false" outlineLevel="0" collapsed="false">
      <c r="A162" s="42"/>
      <c r="B162" s="42"/>
      <c r="C162" s="43" t="n">
        <v>45669</v>
      </c>
      <c r="D162" s="43" t="n">
        <v>46055</v>
      </c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2"/>
      <c r="Q162" s="42"/>
      <c r="R162" s="42"/>
      <c r="S162" s="42"/>
    </row>
    <row r="163" customFormat="false" ht="12.75" hidden="false" customHeight="fals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 t="s">
        <v>47</v>
      </c>
      <c r="R163" s="42"/>
      <c r="S163" s="42"/>
    </row>
    <row r="164" customFormat="false" ht="12.75" hidden="false" customHeight="false" outlineLevel="0" collapsed="false">
      <c r="A164" s="42" t="s">
        <v>57</v>
      </c>
      <c r="B164" s="42"/>
      <c r="C164" s="44" t="n">
        <v>9384.6</v>
      </c>
      <c r="D164" s="44" t="n">
        <v>9656.6</v>
      </c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2"/>
      <c r="Q164" s="42" t="n">
        <f aca="false">SUM(O164-C164)</f>
        <v>-9384.6</v>
      </c>
      <c r="R164" s="42"/>
      <c r="S164" s="42"/>
    </row>
    <row r="165" customFormat="false" ht="12.75" hidden="false" customHeight="false" outlineLevel="0" collapsed="false">
      <c r="A165" s="42" t="s">
        <v>58</v>
      </c>
      <c r="B165" s="42"/>
      <c r="C165" s="44" t="n">
        <v>5459.65</v>
      </c>
      <c r="D165" s="44" t="n">
        <v>5513.6</v>
      </c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2"/>
      <c r="Q165" s="42" t="n">
        <f aca="false">SUM(O165-C165)</f>
        <v>-5459.65</v>
      </c>
      <c r="R165" s="42"/>
      <c r="S165" s="42"/>
    </row>
    <row r="166" customFormat="false" ht="12.75" hidden="false" customHeight="false" outlineLevel="0" collapsed="false">
      <c r="A166" s="42" t="s">
        <v>20</v>
      </c>
      <c r="B166" s="42"/>
      <c r="C166" s="44" t="n">
        <v>162</v>
      </c>
      <c r="D166" s="44" t="n">
        <v>179.9</v>
      </c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2"/>
      <c r="Q166" s="42" t="n">
        <f aca="false">SUM(O166-C166)</f>
        <v>-162</v>
      </c>
      <c r="R166" s="42"/>
      <c r="S166" s="42"/>
    </row>
    <row r="167" customFormat="false" ht="12.75" hidden="false" customHeight="false" outlineLevel="0" collapsed="false">
      <c r="A167" s="42" t="s">
        <v>18</v>
      </c>
      <c r="B167" s="42"/>
      <c r="C167" s="97" t="n">
        <v>2166.5</v>
      </c>
      <c r="D167" s="44" t="n">
        <v>2212.7</v>
      </c>
      <c r="E167" s="44"/>
      <c r="F167" s="44"/>
      <c r="G167" s="97"/>
      <c r="H167" s="97"/>
      <c r="I167" s="97"/>
      <c r="J167" s="97"/>
      <c r="K167" s="97"/>
      <c r="L167" s="97"/>
      <c r="M167" s="97"/>
      <c r="N167" s="97"/>
      <c r="O167" s="97"/>
      <c r="P167" s="98"/>
      <c r="Q167" s="44" t="n">
        <f aca="false">SUM((O167-C167))</f>
        <v>-2166.5</v>
      </c>
      <c r="R167" s="42" t="s">
        <v>59</v>
      </c>
      <c r="S167" s="42"/>
    </row>
    <row r="168" customFormat="false" ht="12.75" hidden="false" customHeight="fals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 t="n">
        <f aca="false">SUM(Q163:Q167)</f>
        <v>-17172.75</v>
      </c>
      <c r="S168" s="42" t="s">
        <v>1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CCFF"/>
    <pageSetUpPr fitToPage="false"/>
  </sheetPr>
  <dimension ref="A1:P129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I136" activeCellId="1" sqref="L206:L207 I136"/>
    </sheetView>
  </sheetViews>
  <sheetFormatPr defaultColWidth="11.0546875" defaultRowHeight="12.75" customHeight="false" zeroHeight="false" outlineLevelRow="0" outlineLevelCol="0"/>
  <cols>
    <col collapsed="false" customWidth="true" hidden="false" outlineLevel="0" max="1" min="1" style="1" width="19.41"/>
    <col collapsed="false" customWidth="true" hidden="false" outlineLevel="0" max="2" min="2" style="1" width="7.56"/>
    <col collapsed="false" customWidth="true" hidden="false" outlineLevel="0" max="3" min="3" style="1" width="11.28"/>
  </cols>
  <sheetData>
    <row r="1" customFormat="false" ht="15" hidden="false" customHeight="false" outlineLevel="0" collapsed="false">
      <c r="A1" s="2" t="s">
        <v>60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n">
        <v>2012</v>
      </c>
      <c r="B3" s="1" t="s">
        <v>1</v>
      </c>
      <c r="C3" s="79" t="s">
        <v>2</v>
      </c>
      <c r="D3" s="79" t="s">
        <v>3</v>
      </c>
      <c r="E3" s="79" t="s">
        <v>4</v>
      </c>
      <c r="F3" s="79" t="s">
        <v>5</v>
      </c>
      <c r="G3" s="79" t="s">
        <v>6</v>
      </c>
      <c r="H3" s="79" t="s">
        <v>7</v>
      </c>
      <c r="I3" s="79" t="s">
        <v>8</v>
      </c>
      <c r="J3" s="79" t="s">
        <v>9</v>
      </c>
      <c r="K3" s="79" t="s">
        <v>10</v>
      </c>
      <c r="L3" s="79" t="s">
        <v>11</v>
      </c>
      <c r="M3" s="79" t="s">
        <v>12</v>
      </c>
      <c r="N3" s="79" t="s">
        <v>13</v>
      </c>
    </row>
    <row r="5" customFormat="false" ht="12.75" hidden="false" customHeight="false" outlineLevel="0" collapsed="false">
      <c r="A5" s="1" t="s">
        <v>57</v>
      </c>
      <c r="C5" s="1" t="n">
        <f aca="false">SUM('Ablesewerte Wasser'!D6-'Ablesewerte Wasser'!C6)</f>
        <v>250</v>
      </c>
      <c r="D5" s="1" t="n">
        <f aca="false">SUM('Ablesewerte Wasser'!E6-'Ablesewerte Wasser'!D6)</f>
        <v>244</v>
      </c>
      <c r="E5" s="1" t="n">
        <f aca="false">SUM('Ablesewerte Wasser'!F6-'Ablesewerte Wasser'!E6)</f>
        <v>289</v>
      </c>
      <c r="F5" s="1" t="n">
        <f aca="false">SUM('Ablesewerte Wasser'!G6-'Ablesewerte Wasser'!F6)</f>
        <v>171</v>
      </c>
      <c r="G5" s="1" t="n">
        <f aca="false">SUM('Ablesewerte Wasser'!H6-'Ablesewerte Wasser'!G6)</f>
        <v>260</v>
      </c>
      <c r="H5" s="1" t="n">
        <f aca="false">SUM('Ablesewerte Wasser'!I6-'Ablesewerte Wasser'!H6)</f>
        <v>229</v>
      </c>
      <c r="I5" s="1" t="n">
        <f aca="false">SUM('Ablesewerte Wasser'!J6-'Ablesewerte Wasser'!I6)</f>
        <v>183</v>
      </c>
      <c r="J5" s="1" t="n">
        <f aca="false">SUM('Ablesewerte Wasser'!K6-'Ablesewerte Wasser'!J6)</f>
        <v>121</v>
      </c>
      <c r="K5" s="1" t="n">
        <f aca="false">SUM('Ablesewerte Wasser'!L6-'Ablesewerte Wasser'!K6)</f>
        <v>407</v>
      </c>
      <c r="L5" s="1" t="n">
        <f aca="false">SUM('Ablesewerte Wasser'!M6-'Ablesewerte Wasser'!L6)</f>
        <v>360</v>
      </c>
      <c r="M5" s="1" t="n">
        <f aca="false">SUM('Ablesewerte Wasser'!N6-'Ablesewerte Wasser'!M6)</f>
        <v>305</v>
      </c>
      <c r="N5" s="1" t="n">
        <f aca="false">SUM('Ablesewerte Wasser'!O6-'Ablesewerte Wasser'!N6)</f>
        <v>223</v>
      </c>
      <c r="P5" s="1" t="n">
        <f aca="false">SUM(C5:O5)</f>
        <v>3042</v>
      </c>
    </row>
    <row r="6" customFormat="false" ht="12.75" hidden="false" customHeight="false" outlineLevel="0" collapsed="false">
      <c r="A6" s="1" t="s">
        <v>58</v>
      </c>
      <c r="C6" s="1" t="n">
        <f aca="false">SUM('Ablesewerte Wasser'!D7-'Ablesewerte Wasser'!C7)</f>
        <v>25</v>
      </c>
      <c r="D6" s="1" t="n">
        <f aca="false">SUM('Ablesewerte Wasser'!E7-'Ablesewerte Wasser'!D7)</f>
        <v>38</v>
      </c>
      <c r="E6" s="1" t="n">
        <f aca="false">SUM('Ablesewerte Wasser'!F7-'Ablesewerte Wasser'!E7)</f>
        <v>28</v>
      </c>
      <c r="F6" s="1" t="n">
        <f aca="false">SUM('Ablesewerte Wasser'!G7-'Ablesewerte Wasser'!F7)</f>
        <v>18</v>
      </c>
      <c r="G6" s="1" t="n">
        <f aca="false">SUM('Ablesewerte Wasser'!H7-'Ablesewerte Wasser'!G7)</f>
        <v>16</v>
      </c>
      <c r="H6" s="1" t="n">
        <f aca="false">SUM('Ablesewerte Wasser'!I7-'Ablesewerte Wasser'!H7)</f>
        <v>17</v>
      </c>
      <c r="I6" s="1" t="n">
        <f aca="false">SUM('Ablesewerte Wasser'!J7-'Ablesewerte Wasser'!I7)</f>
        <v>18</v>
      </c>
      <c r="J6" s="1" t="n">
        <f aca="false">SUM('Ablesewerte Wasser'!K7-'Ablesewerte Wasser'!J7)</f>
        <v>4</v>
      </c>
      <c r="K6" s="1" t="n">
        <f aca="false">SUM('Ablesewerte Wasser'!L7-'Ablesewerte Wasser'!K7)</f>
        <v>23</v>
      </c>
      <c r="L6" s="1" t="n">
        <f aca="false">SUM('Ablesewerte Wasser'!M7-'Ablesewerte Wasser'!L7)</f>
        <v>71</v>
      </c>
      <c r="M6" s="1" t="n">
        <f aca="false">SUM('Ablesewerte Wasser'!N7-'Ablesewerte Wasser'!M7)</f>
        <v>31</v>
      </c>
      <c r="N6" s="1" t="n">
        <f aca="false">SUM('Ablesewerte Wasser'!O7-'Ablesewerte Wasser'!N7)</f>
        <v>23</v>
      </c>
      <c r="P6" s="1" t="n">
        <f aca="false">SUM(C6:O6)</f>
        <v>312</v>
      </c>
    </row>
    <row r="7" customFormat="false" ht="12.75" hidden="false" customHeight="false" outlineLevel="0" collapsed="false">
      <c r="A7" s="1" t="s">
        <v>19</v>
      </c>
      <c r="C7" s="1" t="n">
        <f aca="false">SUM('Ablesewerte Wasser'!D8-'Ablesewerte Wasser'!C8)</f>
        <v>8</v>
      </c>
      <c r="D7" s="1" t="n">
        <f aca="false">SUM('Ablesewerte Wasser'!E8-'Ablesewerte Wasser'!D8)</f>
        <v>6</v>
      </c>
      <c r="E7" s="1" t="n">
        <f aca="false">SUM('Ablesewerte Wasser'!F8-'Ablesewerte Wasser'!E8)</f>
        <v>6</v>
      </c>
      <c r="F7" s="1" t="n">
        <f aca="false">SUM('Ablesewerte Wasser'!G8-'Ablesewerte Wasser'!F8)</f>
        <v>5</v>
      </c>
      <c r="G7" s="1" t="n">
        <f aca="false">SUM('Ablesewerte Wasser'!H8-'Ablesewerte Wasser'!G8)</f>
        <v>7</v>
      </c>
      <c r="H7" s="1" t="n">
        <f aca="false">SUM('Ablesewerte Wasser'!I8-'Ablesewerte Wasser'!H8)</f>
        <v>5</v>
      </c>
      <c r="I7" s="1" t="n">
        <f aca="false">SUM('Ablesewerte Wasser'!J8-'Ablesewerte Wasser'!I8)</f>
        <v>4</v>
      </c>
      <c r="J7" s="1" t="n">
        <f aca="false">SUM('Ablesewerte Wasser'!K8-'Ablesewerte Wasser'!J8)</f>
        <v>5</v>
      </c>
      <c r="K7" s="1" t="n">
        <f aca="false">SUM('Ablesewerte Wasser'!L8-'Ablesewerte Wasser'!K8)</f>
        <v>6</v>
      </c>
      <c r="L7" s="1" t="n">
        <f aca="false">SUM('Ablesewerte Wasser'!M8-'Ablesewerte Wasser'!L8)</f>
        <v>7</v>
      </c>
      <c r="M7" s="1" t="n">
        <f aca="false">SUM('Ablesewerte Wasser'!N8-'Ablesewerte Wasser'!M8)</f>
        <v>5</v>
      </c>
      <c r="N7" s="1" t="n">
        <f aca="false">SUM('Ablesewerte Wasser'!O8-'Ablesewerte Wasser'!N8)</f>
        <v>4</v>
      </c>
      <c r="P7" s="1" t="n">
        <f aca="false">SUM(C7:O7)</f>
        <v>68</v>
      </c>
    </row>
    <row r="8" customFormat="false" ht="12.75" hidden="false" customHeight="false" outlineLevel="0" collapsed="false">
      <c r="A8" s="1" t="s">
        <v>18</v>
      </c>
      <c r="C8" s="1" t="n">
        <f aca="false">SUM('Ablesewerte Wasser'!D9-'Ablesewerte Wasser'!C9)</f>
        <v>23</v>
      </c>
      <c r="D8" s="1" t="n">
        <f aca="false">SUM('Ablesewerte Wasser'!E9-'Ablesewerte Wasser'!D9)</f>
        <v>18</v>
      </c>
      <c r="E8" s="1" t="n">
        <f aca="false">SUM('Ablesewerte Wasser'!F9-'Ablesewerte Wasser'!E9)</f>
        <v>24</v>
      </c>
      <c r="F8" s="1" t="n">
        <f aca="false">SUM('Ablesewerte Wasser'!G9-'Ablesewerte Wasser'!F9)</f>
        <v>21</v>
      </c>
      <c r="G8" s="1" t="n">
        <f aca="false">SUM('Ablesewerte Wasser'!H9-'Ablesewerte Wasser'!G9)</f>
        <v>21</v>
      </c>
      <c r="H8" s="1" t="n">
        <f aca="false">SUM('Ablesewerte Wasser'!I9-'Ablesewerte Wasser'!H9)</f>
        <v>15</v>
      </c>
      <c r="I8" s="1" t="n">
        <f aca="false">SUM('Ablesewerte Wasser'!J9-'Ablesewerte Wasser'!I9)</f>
        <v>12</v>
      </c>
      <c r="J8" s="1" t="n">
        <f aca="false">SUM('Ablesewerte Wasser'!K9-'Ablesewerte Wasser'!J9)</f>
        <v>16</v>
      </c>
      <c r="K8" s="1" t="n">
        <f aca="false">SUM('Ablesewerte Wasser'!L9-'Ablesewerte Wasser'!K9)</f>
        <v>15</v>
      </c>
      <c r="L8" s="1" t="n">
        <f aca="false">SUM('Ablesewerte Wasser'!M9-'Ablesewerte Wasser'!L9)</f>
        <v>18</v>
      </c>
      <c r="M8" s="1" t="n">
        <f aca="false">SUM('Ablesewerte Wasser'!N9-'Ablesewerte Wasser'!M9)</f>
        <v>13</v>
      </c>
      <c r="N8" s="1" t="n">
        <f aca="false">SUM('Ablesewerte Wasser'!O9-'Ablesewerte Wasser'!N9)</f>
        <v>17</v>
      </c>
      <c r="P8" s="1" t="n">
        <f aca="false">SUM(C8:O8)</f>
        <v>213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n">
        <v>2013</v>
      </c>
      <c r="B12" s="1" t="s">
        <v>1</v>
      </c>
      <c r="C12" s="79" t="s">
        <v>2</v>
      </c>
      <c r="D12" s="79" t="s">
        <v>3</v>
      </c>
      <c r="E12" s="79" t="s">
        <v>4</v>
      </c>
      <c r="F12" s="79" t="s">
        <v>5</v>
      </c>
      <c r="G12" s="79" t="s">
        <v>6</v>
      </c>
      <c r="H12" s="79" t="s">
        <v>7</v>
      </c>
      <c r="I12" s="79" t="s">
        <v>8</v>
      </c>
      <c r="J12" s="79" t="s">
        <v>9</v>
      </c>
      <c r="K12" s="79" t="s">
        <v>10</v>
      </c>
      <c r="L12" s="79" t="s">
        <v>11</v>
      </c>
      <c r="M12" s="79" t="s">
        <v>12</v>
      </c>
      <c r="N12" s="79" t="s">
        <v>13</v>
      </c>
    </row>
    <row r="14" customFormat="false" ht="12.75" hidden="false" customHeight="false" outlineLevel="0" collapsed="false">
      <c r="A14" s="1" t="s">
        <v>57</v>
      </c>
      <c r="C14" s="106" t="n">
        <f aca="false">SUM('Ablesewerte Wasser'!D16-'Ablesewerte Wasser'!C16)</f>
        <v>248</v>
      </c>
      <c r="D14" s="106" t="n">
        <f aca="false">SUM('Ablesewerte Wasser'!E16-'Ablesewerte Wasser'!D16)</f>
        <v>219</v>
      </c>
      <c r="E14" s="106" t="n">
        <f aca="false">SUM('Ablesewerte Wasser'!F16-'Ablesewerte Wasser'!E16)</f>
        <v>219</v>
      </c>
      <c r="F14" s="106" t="n">
        <f aca="false">SUM('Ablesewerte Wasser'!G16-'Ablesewerte Wasser'!F16)</f>
        <v>277</v>
      </c>
      <c r="G14" s="106" t="n">
        <f aca="false">SUM('Ablesewerte Wasser'!H16-'Ablesewerte Wasser'!G16)</f>
        <v>148</v>
      </c>
      <c r="H14" s="106" t="n">
        <f aca="false">SUM('Ablesewerte Wasser'!I16-'Ablesewerte Wasser'!H16)</f>
        <v>251</v>
      </c>
      <c r="I14" s="106" t="n">
        <f aca="false">SUM('Ablesewerte Wasser'!J16-'Ablesewerte Wasser'!I16)</f>
        <v>468</v>
      </c>
      <c r="J14" s="106" t="n">
        <f aca="false">SUM('Ablesewerte Wasser'!K16-'Ablesewerte Wasser'!J16)</f>
        <v>267</v>
      </c>
      <c r="K14" s="106" t="n">
        <f aca="false">SUM('Ablesewerte Wasser'!L16-'Ablesewerte Wasser'!K16)</f>
        <v>210.09</v>
      </c>
      <c r="L14" s="106" t="n">
        <f aca="false">SUM('Ablesewerte Wasser'!M16-'Ablesewerte Wasser'!L16)</f>
        <v>241.91</v>
      </c>
      <c r="M14" s="106" t="n">
        <f aca="false">SUM('Ablesewerte Wasser'!N16-'Ablesewerte Wasser'!M16)</f>
        <v>257</v>
      </c>
      <c r="N14" s="106" t="n">
        <f aca="false">SUM('Ablesewerte Wasser'!O16-'Ablesewerte Wasser'!N16)</f>
        <v>223</v>
      </c>
      <c r="O14" s="106"/>
      <c r="P14" s="106" t="n">
        <f aca="false">SUM(C14:O14)</f>
        <v>3029</v>
      </c>
    </row>
    <row r="15" customFormat="false" ht="12.75" hidden="false" customHeight="false" outlineLevel="0" collapsed="false">
      <c r="A15" s="1" t="s">
        <v>58</v>
      </c>
      <c r="C15" s="106" t="n">
        <f aca="false">SUM('Ablesewerte Wasser'!D17-'Ablesewerte Wasser'!C17)</f>
        <v>29</v>
      </c>
      <c r="D15" s="106" t="n">
        <f aca="false">SUM('Ablesewerte Wasser'!E17-'Ablesewerte Wasser'!D17)</f>
        <v>19</v>
      </c>
      <c r="E15" s="106" t="n">
        <f aca="false">SUM('Ablesewerte Wasser'!F17-'Ablesewerte Wasser'!E17)</f>
        <v>26</v>
      </c>
      <c r="F15" s="106" t="n">
        <f aca="false">SUM('Ablesewerte Wasser'!G17-'Ablesewerte Wasser'!F17)</f>
        <v>24</v>
      </c>
      <c r="G15" s="106" t="n">
        <f aca="false">SUM('Ablesewerte Wasser'!H17-'Ablesewerte Wasser'!G17)</f>
        <v>9</v>
      </c>
      <c r="H15" s="106" t="n">
        <f aca="false">SUM('Ablesewerte Wasser'!I17-'Ablesewerte Wasser'!H17)</f>
        <v>18</v>
      </c>
      <c r="I15" s="106" t="n">
        <f aca="false">SUM('Ablesewerte Wasser'!J17-'Ablesewerte Wasser'!I17)</f>
        <v>15</v>
      </c>
      <c r="J15" s="106" t="n">
        <f aca="false">SUM('Ablesewerte Wasser'!K17-'Ablesewerte Wasser'!J17)</f>
        <v>2</v>
      </c>
      <c r="K15" s="106" t="n">
        <f aca="false">SUM('Ablesewerte Wasser'!L17-'Ablesewerte Wasser'!K17)</f>
        <v>16</v>
      </c>
      <c r="L15" s="106" t="n">
        <f aca="false">SUM('Ablesewerte Wasser'!M17-'Ablesewerte Wasser'!L17)</f>
        <v>25</v>
      </c>
      <c r="M15" s="106" t="n">
        <f aca="false">SUM('Ablesewerte Wasser'!N17-'Ablesewerte Wasser'!M17)</f>
        <v>31</v>
      </c>
      <c r="N15" s="106" t="n">
        <f aca="false">SUM('Ablesewerte Wasser'!O17-'Ablesewerte Wasser'!N17)</f>
        <v>29</v>
      </c>
      <c r="O15" s="106"/>
      <c r="P15" s="106" t="n">
        <f aca="false">SUM(C15:O15)</f>
        <v>243</v>
      </c>
    </row>
    <row r="16" customFormat="false" ht="12.75" hidden="false" customHeight="false" outlineLevel="0" collapsed="false">
      <c r="A16" s="1" t="s">
        <v>19</v>
      </c>
      <c r="C16" s="106" t="n">
        <f aca="false">SUM('Ablesewerte Wasser'!D18-'Ablesewerte Wasser'!C18)</f>
        <v>7</v>
      </c>
      <c r="D16" s="106" t="n">
        <f aca="false">SUM('Ablesewerte Wasser'!E18-'Ablesewerte Wasser'!D18)</f>
        <v>5</v>
      </c>
      <c r="E16" s="106" t="n">
        <f aca="false">SUM('Ablesewerte Wasser'!F18-'Ablesewerte Wasser'!E18)</f>
        <v>5</v>
      </c>
      <c r="F16" s="106" t="n">
        <f aca="false">SUM('Ablesewerte Wasser'!G18-'Ablesewerte Wasser'!F18)</f>
        <v>7</v>
      </c>
      <c r="G16" s="106" t="n">
        <f aca="false">SUM('Ablesewerte Wasser'!H18-'Ablesewerte Wasser'!G18)</f>
        <v>2</v>
      </c>
      <c r="H16" s="106" t="n">
        <f aca="false">SUM('Ablesewerte Wasser'!I18-'Ablesewerte Wasser'!H18)</f>
        <v>7</v>
      </c>
      <c r="I16" s="106" t="n">
        <f aca="false">SUM('Ablesewerte Wasser'!J18-'Ablesewerte Wasser'!I18)</f>
        <v>5</v>
      </c>
      <c r="J16" s="106" t="n">
        <f aca="false">SUM('Ablesewerte Wasser'!K18-'Ablesewerte Wasser'!J18)</f>
        <v>2</v>
      </c>
      <c r="K16" s="106" t="n">
        <f aca="false">SUM('Ablesewerte Wasser'!L18-'Ablesewerte Wasser'!K18)</f>
        <v>5</v>
      </c>
      <c r="L16" s="106" t="n">
        <f aca="false">SUM('Ablesewerte Wasser'!M18-'Ablesewerte Wasser'!L18)</f>
        <v>5</v>
      </c>
      <c r="M16" s="106" t="n">
        <f aca="false">SUM('Ablesewerte Wasser'!N18-'Ablesewerte Wasser'!M18)</f>
        <v>8</v>
      </c>
      <c r="N16" s="106" t="n">
        <f aca="false">SUM('Ablesewerte Wasser'!O18-'Ablesewerte Wasser'!N18)</f>
        <v>5</v>
      </c>
      <c r="O16" s="106"/>
      <c r="P16" s="106" t="n">
        <f aca="false">SUM(C16:O16)</f>
        <v>63</v>
      </c>
    </row>
    <row r="17" customFormat="false" ht="12.75" hidden="false" customHeight="false" outlineLevel="0" collapsed="false">
      <c r="A17" s="1" t="s">
        <v>18</v>
      </c>
      <c r="C17" s="106" t="n">
        <f aca="false">SUM('Ablesewerte Wasser'!D19-'Ablesewerte Wasser'!C19)</f>
        <v>11</v>
      </c>
      <c r="D17" s="106" t="n">
        <f aca="false">SUM('Ablesewerte Wasser'!E19-'Ablesewerte Wasser'!D19)</f>
        <v>13</v>
      </c>
      <c r="E17" s="106" t="n">
        <f aca="false">SUM('Ablesewerte Wasser'!F19-'Ablesewerte Wasser'!E19)</f>
        <v>15</v>
      </c>
      <c r="F17" s="106" t="n">
        <f aca="false">SUM('Ablesewerte Wasser'!G19-'Ablesewerte Wasser'!F19)</f>
        <v>14</v>
      </c>
      <c r="G17" s="106" t="n">
        <f aca="false">SUM('Ablesewerte Wasser'!H19-'Ablesewerte Wasser'!G19)</f>
        <v>10</v>
      </c>
      <c r="H17" s="106" t="n">
        <f aca="false">SUM('Ablesewerte Wasser'!I19-'Ablesewerte Wasser'!H19)</f>
        <v>13</v>
      </c>
      <c r="I17" s="106" t="n">
        <f aca="false">SUM('Ablesewerte Wasser'!J19-'Ablesewerte Wasser'!I19)</f>
        <v>20</v>
      </c>
      <c r="J17" s="106" t="n">
        <f aca="false">SUM('Ablesewerte Wasser'!K19-'Ablesewerte Wasser'!J19)</f>
        <v>10</v>
      </c>
      <c r="K17" s="106" t="n">
        <f aca="false">SUM('Ablesewerte Wasser'!L19-'Ablesewerte Wasser'!K19)</f>
        <v>14</v>
      </c>
      <c r="L17" s="106" t="n">
        <f aca="false">SUM('Ablesewerte Wasser'!M19-'Ablesewerte Wasser'!L19)</f>
        <v>16</v>
      </c>
      <c r="M17" s="106" t="n">
        <f aca="false">SUM('Ablesewerte Wasser'!N19-'Ablesewerte Wasser'!M19)</f>
        <v>12</v>
      </c>
      <c r="N17" s="106" t="n">
        <f aca="false">SUM('Ablesewerte Wasser'!O19-'Ablesewerte Wasser'!N19)</f>
        <v>19</v>
      </c>
      <c r="O17" s="106"/>
      <c r="P17" s="106" t="n">
        <f aca="false">SUM(C17:O17)</f>
        <v>167</v>
      </c>
    </row>
    <row r="18" customFormat="false" ht="12.75" hidden="false" customHeight="false" outlineLevel="0" collapsed="false"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</row>
    <row r="19" customFormat="false" ht="12.75" hidden="false" customHeight="false" outlineLevel="0" collapsed="false"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</row>
    <row r="21" customFormat="false" ht="15" hidden="false" customHeight="false" outlineLevel="0" collapsed="false">
      <c r="A21" s="2" t="n">
        <v>2014</v>
      </c>
      <c r="B21" s="1" t="s">
        <v>1</v>
      </c>
      <c r="C21" s="79" t="s">
        <v>2</v>
      </c>
      <c r="D21" s="79" t="s">
        <v>3</v>
      </c>
      <c r="E21" s="79" t="s">
        <v>4</v>
      </c>
      <c r="F21" s="79" t="s">
        <v>5</v>
      </c>
      <c r="G21" s="79" t="s">
        <v>6</v>
      </c>
      <c r="H21" s="79" t="s">
        <v>7</v>
      </c>
      <c r="I21" s="79" t="s">
        <v>8</v>
      </c>
      <c r="J21" s="79" t="s">
        <v>9</v>
      </c>
      <c r="K21" s="79" t="s">
        <v>10</v>
      </c>
      <c r="L21" s="79" t="s">
        <v>11</v>
      </c>
      <c r="M21" s="79" t="s">
        <v>12</v>
      </c>
      <c r="N21" s="79" t="s">
        <v>13</v>
      </c>
    </row>
    <row r="23" customFormat="false" ht="12.75" hidden="false" customHeight="false" outlineLevel="0" collapsed="false">
      <c r="A23" s="1" t="s">
        <v>57</v>
      </c>
      <c r="C23" s="54" t="n">
        <f aca="false">SUM('Ablesewerte Wasser'!D28-'Ablesewerte Wasser'!C28)</f>
        <v>208</v>
      </c>
      <c r="D23" s="54" t="n">
        <f aca="false">SUM('Ablesewerte Wasser'!E28-'Ablesewerte Wasser'!D28)</f>
        <v>260</v>
      </c>
      <c r="E23" s="54" t="n">
        <f aca="false">SUM('Ablesewerte Wasser'!F28-'Ablesewerte Wasser'!E28)</f>
        <v>212</v>
      </c>
      <c r="F23" s="54" t="n">
        <f aca="false">SUM('Ablesewerte Wasser'!G28-'Ablesewerte Wasser'!F28)</f>
        <v>173</v>
      </c>
      <c r="G23" s="54" t="n">
        <f aca="false">SUM('Ablesewerte Wasser'!H28-'Ablesewerte Wasser'!G28)</f>
        <v>228</v>
      </c>
      <c r="H23" s="54" t="n">
        <f aca="false">SUM('Ablesewerte Wasser'!I28-'Ablesewerte Wasser'!H28)</f>
        <v>140</v>
      </c>
      <c r="I23" s="54" t="n">
        <f aca="false">SUM('Ablesewerte Wasser'!J28-'Ablesewerte Wasser'!I28)</f>
        <v>207</v>
      </c>
      <c r="J23" s="54" t="n">
        <f aca="false">SUM('Ablesewerte Wasser'!K28-'Ablesewerte Wasser'!J28)</f>
        <v>101</v>
      </c>
      <c r="K23" s="54" t="n">
        <f aca="false">SUM('Ablesewerte Wasser'!L28-'Ablesewerte Wasser'!K28)</f>
        <v>200</v>
      </c>
      <c r="L23" s="54" t="n">
        <f aca="false">SUM('Ablesewerte Wasser'!M28-'Ablesewerte Wasser'!L28)</f>
        <v>179</v>
      </c>
      <c r="M23" s="54" t="n">
        <f aca="false">SUM('Ablesewerte Wasser'!N28-'Ablesewerte Wasser'!M28)</f>
        <v>211</v>
      </c>
      <c r="N23" s="54" t="n">
        <f aca="false">SUM('Ablesewerte Wasser'!O28-'Ablesewerte Wasser'!N28)</f>
        <v>183</v>
      </c>
      <c r="P23" s="1" t="n">
        <f aca="false">SUM(C23:O23)</f>
        <v>2302</v>
      </c>
    </row>
    <row r="24" customFormat="false" ht="12.75" hidden="false" customHeight="false" outlineLevel="0" collapsed="false">
      <c r="A24" s="1" t="s">
        <v>58</v>
      </c>
      <c r="C24" s="54" t="n">
        <f aca="false">SUM('Ablesewerte Wasser'!D29-'Ablesewerte Wasser'!C29)</f>
        <v>27</v>
      </c>
      <c r="D24" s="54" t="n">
        <f aca="false">SUM('Ablesewerte Wasser'!E29-'Ablesewerte Wasser'!D29)</f>
        <v>29</v>
      </c>
      <c r="E24" s="54" t="n">
        <f aca="false">SUM('Ablesewerte Wasser'!F29-'Ablesewerte Wasser'!E29)</f>
        <v>27</v>
      </c>
      <c r="F24" s="54" t="n">
        <f aca="false">SUM('Ablesewerte Wasser'!G29-'Ablesewerte Wasser'!F29)</f>
        <v>23</v>
      </c>
      <c r="G24" s="54" t="n">
        <f aca="false">SUM('Ablesewerte Wasser'!H29-'Ablesewerte Wasser'!G29)</f>
        <v>21</v>
      </c>
      <c r="H24" s="54" t="n">
        <f aca="false">SUM('Ablesewerte Wasser'!I29-'Ablesewerte Wasser'!H29)</f>
        <v>12</v>
      </c>
      <c r="I24" s="54" t="n">
        <f aca="false">SUM('Ablesewerte Wasser'!J29-'Ablesewerte Wasser'!I29)</f>
        <v>27</v>
      </c>
      <c r="J24" s="54" t="n">
        <f aca="false">SUM('Ablesewerte Wasser'!K29-'Ablesewerte Wasser'!J29)</f>
        <v>3</v>
      </c>
      <c r="K24" s="54" t="n">
        <f aca="false">SUM('Ablesewerte Wasser'!L29-'Ablesewerte Wasser'!K29)</f>
        <v>22</v>
      </c>
      <c r="L24" s="54" t="n">
        <f aca="false">SUM('Ablesewerte Wasser'!M29-'Ablesewerte Wasser'!L29)</f>
        <v>37</v>
      </c>
      <c r="M24" s="54" t="n">
        <f aca="false">SUM('Ablesewerte Wasser'!N29-'Ablesewerte Wasser'!M29)</f>
        <v>29</v>
      </c>
      <c r="N24" s="54" t="n">
        <f aca="false">SUM('Ablesewerte Wasser'!O29-'Ablesewerte Wasser'!N29)</f>
        <v>20</v>
      </c>
      <c r="P24" s="1" t="n">
        <f aca="false">SUM(C24:O24)</f>
        <v>277</v>
      </c>
    </row>
    <row r="25" customFormat="false" ht="12.75" hidden="false" customHeight="false" outlineLevel="0" collapsed="false">
      <c r="A25" s="1" t="s">
        <v>19</v>
      </c>
      <c r="C25" s="54" t="n">
        <f aca="false">SUM('Ablesewerte Wasser'!D30-'Ablesewerte Wasser'!C30)</f>
        <v>6</v>
      </c>
      <c r="D25" s="54" t="n">
        <f aca="false">SUM('Ablesewerte Wasser'!E30-'Ablesewerte Wasser'!D30)</f>
        <v>5</v>
      </c>
      <c r="E25" s="54" t="n">
        <f aca="false">SUM('Ablesewerte Wasser'!F30-'Ablesewerte Wasser'!E30)</f>
        <v>6</v>
      </c>
      <c r="F25" s="54" t="n">
        <f aca="false">SUM('Ablesewerte Wasser'!G30-'Ablesewerte Wasser'!F30)</f>
        <v>5</v>
      </c>
      <c r="G25" s="54" t="n">
        <f aca="false">SUM('Ablesewerte Wasser'!H30-'Ablesewerte Wasser'!G30)</f>
        <v>6</v>
      </c>
      <c r="H25" s="54" t="n">
        <f aca="false">SUM('Ablesewerte Wasser'!I30-'Ablesewerte Wasser'!H30)</f>
        <v>5</v>
      </c>
      <c r="I25" s="54" t="n">
        <f aca="false">SUM('Ablesewerte Wasser'!J30-'Ablesewerte Wasser'!I30)</f>
        <v>4</v>
      </c>
      <c r="J25" s="54" t="n">
        <f aca="false">SUM('Ablesewerte Wasser'!K30-'Ablesewerte Wasser'!J30)</f>
        <v>6</v>
      </c>
      <c r="K25" s="54" t="n">
        <f aca="false">SUM('Ablesewerte Wasser'!L30-'Ablesewerte Wasser'!K30)</f>
        <v>5</v>
      </c>
      <c r="L25" s="54" t="n">
        <f aca="false">SUM('Ablesewerte Wasser'!M30-'Ablesewerte Wasser'!L30)</f>
        <v>4</v>
      </c>
      <c r="M25" s="54" t="n">
        <f aca="false">SUM('Ablesewerte Wasser'!N30-'Ablesewerte Wasser'!M30)</f>
        <v>11</v>
      </c>
      <c r="N25" s="54" t="n">
        <f aca="false">SUM('Ablesewerte Wasser'!O30-'Ablesewerte Wasser'!N30)</f>
        <v>6</v>
      </c>
      <c r="P25" s="1" t="n">
        <f aca="false">SUM(C25:O25)</f>
        <v>69</v>
      </c>
    </row>
    <row r="26" customFormat="false" ht="12.75" hidden="false" customHeight="false" outlineLevel="0" collapsed="false">
      <c r="A26" s="1" t="s">
        <v>18</v>
      </c>
      <c r="C26" s="54" t="n">
        <f aca="false">SUM('Ablesewerte Wasser'!D31-'Ablesewerte Wasser'!C31)</f>
        <v>12</v>
      </c>
      <c r="D26" s="54" t="n">
        <f aca="false">SUM('Ablesewerte Wasser'!E31-'Ablesewerte Wasser'!D31)</f>
        <v>16</v>
      </c>
      <c r="E26" s="54" t="n">
        <f aca="false">SUM('Ablesewerte Wasser'!F31-'Ablesewerte Wasser'!E31)</f>
        <v>13</v>
      </c>
      <c r="F26" s="54" t="n">
        <f aca="false">SUM('Ablesewerte Wasser'!G31-'Ablesewerte Wasser'!F31)</f>
        <v>20</v>
      </c>
      <c r="G26" s="54" t="n">
        <f aca="false">SUM('Ablesewerte Wasser'!H31-'Ablesewerte Wasser'!G31)</f>
        <v>14</v>
      </c>
      <c r="H26" s="54" t="n">
        <f aca="false">SUM('Ablesewerte Wasser'!I31-'Ablesewerte Wasser'!H31)</f>
        <v>14</v>
      </c>
      <c r="I26" s="54" t="n">
        <v>14</v>
      </c>
      <c r="J26" s="54" t="n">
        <f aca="false">SUM('Ablesewerte Wasser'!K31-'Ablesewerte Wasser'!J31)</f>
        <v>15</v>
      </c>
      <c r="K26" s="54" t="n">
        <f aca="false">SUM('Ablesewerte Wasser'!L31-'Ablesewerte Wasser'!K31)</f>
        <v>14</v>
      </c>
      <c r="L26" s="54" t="n">
        <f aca="false">SUM('Ablesewerte Wasser'!M31-'Ablesewerte Wasser'!L31)</f>
        <v>10</v>
      </c>
      <c r="M26" s="54" t="n">
        <f aca="false">SUM('Ablesewerte Wasser'!N31-'Ablesewerte Wasser'!M31)</f>
        <v>11</v>
      </c>
      <c r="N26" s="54" t="n">
        <f aca="false">SUM('Ablesewerte Wasser'!O31-'Ablesewerte Wasser'!N31)</f>
        <v>14</v>
      </c>
      <c r="P26" s="54" t="n">
        <f aca="false">SUM(C26:N26)</f>
        <v>167</v>
      </c>
    </row>
    <row r="29" customFormat="false" ht="12.75" hidden="false" customHeight="false" outlineLevel="0" collapsed="false">
      <c r="A29" s="107" t="n">
        <v>2015</v>
      </c>
      <c r="B29" s="1" t="s">
        <v>1</v>
      </c>
      <c r="C29" s="79" t="s">
        <v>2</v>
      </c>
      <c r="D29" s="79" t="s">
        <v>3</v>
      </c>
      <c r="E29" s="79" t="s">
        <v>4</v>
      </c>
      <c r="F29" s="79" t="s">
        <v>5</v>
      </c>
      <c r="G29" s="79" t="s">
        <v>6</v>
      </c>
      <c r="H29" s="79" t="s">
        <v>7</v>
      </c>
      <c r="I29" s="79" t="s">
        <v>8</v>
      </c>
      <c r="J29" s="79" t="s">
        <v>9</v>
      </c>
      <c r="K29" s="79" t="s">
        <v>10</v>
      </c>
      <c r="L29" s="79" t="s">
        <v>11</v>
      </c>
      <c r="M29" s="79" t="s">
        <v>12</v>
      </c>
      <c r="N29" s="79" t="s">
        <v>13</v>
      </c>
    </row>
    <row r="31" customFormat="false" ht="12.75" hidden="false" customHeight="false" outlineLevel="0" collapsed="false">
      <c r="A31" s="1" t="s">
        <v>57</v>
      </c>
      <c r="C31" s="54" t="n">
        <f aca="false">SUM('Ablesewerte Wasser'!D40-'Ablesewerte Wasser'!C40)</f>
        <v>191</v>
      </c>
      <c r="D31" s="54" t="n">
        <f aca="false">SUM('Ablesewerte Wasser'!E40-'Ablesewerte Wasser'!D40)</f>
        <v>175</v>
      </c>
      <c r="E31" s="54" t="n">
        <f aca="false">SUM('Ablesewerte Wasser'!F40-'Ablesewerte Wasser'!E40)</f>
        <v>231</v>
      </c>
      <c r="F31" s="54" t="n">
        <f aca="false">SUM('Ablesewerte Wasser'!G40-'Ablesewerte Wasser'!F40)</f>
        <v>220</v>
      </c>
      <c r="G31" s="54" t="n">
        <f aca="false">SUM('Ablesewerte Wasser'!H40-'Ablesewerte Wasser'!G40)</f>
        <v>158</v>
      </c>
      <c r="H31" s="54" t="n">
        <f aca="false">SUM('Ablesewerte Wasser'!I40-'Ablesewerte Wasser'!H40)</f>
        <v>235</v>
      </c>
      <c r="I31" s="54" t="n">
        <f aca="false">SUM('Ablesewerte Wasser'!J40-'Ablesewerte Wasser'!I40)</f>
        <v>415</v>
      </c>
      <c r="J31" s="54" t="n">
        <f aca="false">SUM('Ablesewerte Wasser'!K40-'Ablesewerte Wasser'!J40)</f>
        <v>85</v>
      </c>
      <c r="K31" s="54" t="n">
        <f aca="false">SUM('Ablesewerte Wasser'!L40-'Ablesewerte Wasser'!K40)</f>
        <v>198</v>
      </c>
      <c r="L31" s="54" t="n">
        <f aca="false">SUM('Ablesewerte Wasser'!M40-'Ablesewerte Wasser'!L40)</f>
        <v>290</v>
      </c>
      <c r="M31" s="54" t="n">
        <f aca="false">SUM('Ablesewerte Wasser'!N40-'Ablesewerte Wasser'!M40)</f>
        <v>250</v>
      </c>
      <c r="N31" s="54" t="n">
        <f aca="false">SUM('Ablesewerte Wasser'!O40-'Ablesewerte Wasser'!N40)</f>
        <v>183</v>
      </c>
      <c r="P31" s="1" t="n">
        <f aca="false">SUM(C31:O31)</f>
        <v>2631</v>
      </c>
    </row>
    <row r="32" customFormat="false" ht="12.75" hidden="false" customHeight="false" outlineLevel="0" collapsed="false">
      <c r="A32" s="1" t="s">
        <v>58</v>
      </c>
      <c r="C32" s="54" t="n">
        <f aca="false">SUM('Ablesewerte Wasser'!D41-'Ablesewerte Wasser'!C41)</f>
        <v>28</v>
      </c>
      <c r="D32" s="54" t="n">
        <f aca="false">SUM('Ablesewerte Wasser'!E41-'Ablesewerte Wasser'!D41)</f>
        <v>26</v>
      </c>
      <c r="E32" s="54" t="n">
        <f aca="false">SUM('Ablesewerte Wasser'!F41-'Ablesewerte Wasser'!E41)</f>
        <v>36</v>
      </c>
      <c r="F32" s="54" t="n">
        <f aca="false">SUM('Ablesewerte Wasser'!G41-'Ablesewerte Wasser'!F41)</f>
        <v>19</v>
      </c>
      <c r="G32" s="54" t="n">
        <f aca="false">SUM('Ablesewerte Wasser'!H41-'Ablesewerte Wasser'!G41)</f>
        <v>16</v>
      </c>
      <c r="H32" s="54" t="n">
        <f aca="false">SUM('Ablesewerte Wasser'!I41-'Ablesewerte Wasser'!H41)</f>
        <v>18</v>
      </c>
      <c r="I32" s="54" t="n">
        <f aca="false">SUM('Ablesewerte Wasser'!J41-'Ablesewerte Wasser'!I41)</f>
        <v>18</v>
      </c>
      <c r="J32" s="54" t="n">
        <f aca="false">SUM('Ablesewerte Wasser'!K41-'Ablesewerte Wasser'!J41)</f>
        <v>4</v>
      </c>
      <c r="K32" s="54" t="n">
        <f aca="false">SUM('Ablesewerte Wasser'!L41-'Ablesewerte Wasser'!K41)</f>
        <v>17</v>
      </c>
      <c r="L32" s="54" t="n">
        <f aca="false">SUM('Ablesewerte Wasser'!M41-'Ablesewerte Wasser'!L41)</f>
        <v>32</v>
      </c>
      <c r="M32" s="54" t="n">
        <f aca="false">SUM('Ablesewerte Wasser'!N41-'Ablesewerte Wasser'!M41)</f>
        <v>21</v>
      </c>
      <c r="N32" s="54" t="n">
        <f aca="false">SUM('Ablesewerte Wasser'!O41-'Ablesewerte Wasser'!N41)</f>
        <v>22</v>
      </c>
      <c r="P32" s="1" t="n">
        <f aca="false">SUM(C32:O32)</f>
        <v>257</v>
      </c>
    </row>
    <row r="33" customFormat="false" ht="12.75" hidden="false" customHeight="false" outlineLevel="0" collapsed="false">
      <c r="A33" s="1" t="s">
        <v>19</v>
      </c>
      <c r="C33" s="54" t="n">
        <f aca="false">SUM('Ablesewerte Wasser'!D42-'Ablesewerte Wasser'!C42)</f>
        <v>5</v>
      </c>
      <c r="D33" s="54" t="n">
        <f aca="false">SUM('Ablesewerte Wasser'!E42-'Ablesewerte Wasser'!D42)</f>
        <v>6</v>
      </c>
      <c r="E33" s="54" t="n">
        <f aca="false">SUM('Ablesewerte Wasser'!F42-'Ablesewerte Wasser'!E42)</f>
        <v>4</v>
      </c>
      <c r="F33" s="54" t="n">
        <f aca="false">SUM('Ablesewerte Wasser'!G42-'Ablesewerte Wasser'!F42)</f>
        <v>4</v>
      </c>
      <c r="G33" s="54" t="n">
        <f aca="false">SUM('Ablesewerte Wasser'!H42-'Ablesewerte Wasser'!G42)</f>
        <v>6</v>
      </c>
      <c r="H33" s="54" t="n">
        <f aca="false">SUM('Ablesewerte Wasser'!I42-'Ablesewerte Wasser'!H42)</f>
        <v>4</v>
      </c>
      <c r="I33" s="54" t="n">
        <f aca="false">SUM('Ablesewerte Wasser'!J42-'Ablesewerte Wasser'!I42)</f>
        <v>4</v>
      </c>
      <c r="J33" s="54" t="n">
        <f aca="false">SUM('Ablesewerte Wasser'!K42-'Ablesewerte Wasser'!J42)</f>
        <v>2</v>
      </c>
      <c r="K33" s="54" t="n">
        <f aca="false">SUM('Ablesewerte Wasser'!L42-'Ablesewerte Wasser'!K42)</f>
        <v>4</v>
      </c>
      <c r="L33" s="54" t="n">
        <f aca="false">SUM('Ablesewerte Wasser'!M42-'Ablesewerte Wasser'!L42)</f>
        <v>7</v>
      </c>
      <c r="M33" s="54" t="n">
        <f aca="false">SUM('Ablesewerte Wasser'!N42-'Ablesewerte Wasser'!M42)</f>
        <v>5</v>
      </c>
      <c r="N33" s="54" t="n">
        <f aca="false">SUM('Ablesewerte Wasser'!O42-'Ablesewerte Wasser'!N42)</f>
        <v>8</v>
      </c>
      <c r="P33" s="1" t="n">
        <f aca="false">SUM(C33:O33)</f>
        <v>59</v>
      </c>
    </row>
    <row r="34" customFormat="false" ht="12.75" hidden="false" customHeight="false" outlineLevel="0" collapsed="false">
      <c r="A34" s="1" t="s">
        <v>18</v>
      </c>
      <c r="C34" s="54" t="n">
        <f aca="false">SUM('Ablesewerte Wasser'!D43-'Ablesewerte Wasser'!C43)</f>
        <v>9</v>
      </c>
      <c r="D34" s="54" t="n">
        <f aca="false">SUM('Ablesewerte Wasser'!E43-'Ablesewerte Wasser'!D43)</f>
        <v>10</v>
      </c>
      <c r="E34" s="54" t="n">
        <f aca="false">SUM('Ablesewerte Wasser'!F43-'Ablesewerte Wasser'!E43)</f>
        <v>12</v>
      </c>
      <c r="F34" s="54" t="n">
        <f aca="false">SUM('Ablesewerte Wasser'!G43-'Ablesewerte Wasser'!F43)</f>
        <v>8</v>
      </c>
      <c r="G34" s="54" t="n">
        <f aca="false">SUM('Ablesewerte Wasser'!H43-'Ablesewerte Wasser'!G43)</f>
        <v>9</v>
      </c>
      <c r="H34" s="54" t="n">
        <f aca="false">SUM('Ablesewerte Wasser'!I43-'Ablesewerte Wasser'!H43)</f>
        <v>9</v>
      </c>
      <c r="I34" s="54" t="n">
        <f aca="false">SUM('Ablesewerte Wasser'!J43-'Ablesewerte Wasser'!I43)</f>
        <v>4</v>
      </c>
      <c r="J34" s="54" t="n">
        <f aca="false">SUM('Ablesewerte Wasser'!K43-'Ablesewerte Wasser'!J43)</f>
        <v>13</v>
      </c>
      <c r="K34" s="54" t="n">
        <f aca="false">SUM('Ablesewerte Wasser'!L43-'Ablesewerte Wasser'!K43)</f>
        <v>7</v>
      </c>
      <c r="L34" s="54" t="n">
        <f aca="false">SUM('Ablesewerte Wasser'!M43-'Ablesewerte Wasser'!L43)</f>
        <v>9</v>
      </c>
      <c r="M34" s="54" t="n">
        <f aca="false">SUM('Ablesewerte Wasser'!N43-'Ablesewerte Wasser'!M43)</f>
        <v>9</v>
      </c>
      <c r="N34" s="54" t="n">
        <f aca="false">SUM('Ablesewerte Wasser'!O43-'Ablesewerte Wasser'!N43)</f>
        <v>15</v>
      </c>
      <c r="P34" s="54" t="n">
        <f aca="false">SUM(C34:N34)</f>
        <v>114</v>
      </c>
    </row>
    <row r="35" customFormat="false" ht="12.75" hidden="false" customHeight="false" outlineLevel="0" collapsed="false">
      <c r="I35" s="54" t="n">
        <f aca="false">SUM('Ablesewerte Wasser'!J44-'Ablesewerte Wasser'!I44)</f>
        <v>0</v>
      </c>
    </row>
    <row r="37" customFormat="false" ht="15" hidden="false" customHeight="false" outlineLevel="0" collapsed="false">
      <c r="A37" s="2" t="n">
        <v>2016</v>
      </c>
      <c r="B37" s="1" t="s">
        <v>1</v>
      </c>
      <c r="C37" s="79" t="s">
        <v>2</v>
      </c>
      <c r="D37" s="79" t="s">
        <v>3</v>
      </c>
      <c r="E37" s="79" t="s">
        <v>4</v>
      </c>
      <c r="F37" s="79" t="s">
        <v>5</v>
      </c>
      <c r="G37" s="79" t="s">
        <v>6</v>
      </c>
      <c r="H37" s="79" t="s">
        <v>7</v>
      </c>
      <c r="I37" s="79" t="s">
        <v>8</v>
      </c>
      <c r="J37" s="79" t="s">
        <v>9</v>
      </c>
      <c r="K37" s="79" t="s">
        <v>10</v>
      </c>
      <c r="L37" s="79" t="s">
        <v>11</v>
      </c>
      <c r="M37" s="79" t="s">
        <v>12</v>
      </c>
      <c r="N37" s="79" t="s">
        <v>13</v>
      </c>
    </row>
    <row r="39" customFormat="false" ht="12.75" hidden="false" customHeight="false" outlineLevel="0" collapsed="false">
      <c r="A39" s="1" t="s">
        <v>57</v>
      </c>
      <c r="C39" s="54" t="n">
        <f aca="false">SUM('Ablesewerte Wasser'!D52-'Ablesewerte Wasser'!C52)</f>
        <v>230</v>
      </c>
      <c r="D39" s="54" t="n">
        <f aca="false">SUM('Ablesewerte Wasser'!E52-'Ablesewerte Wasser'!D52)</f>
        <v>241</v>
      </c>
      <c r="E39" s="54" t="n">
        <f aca="false">SUM('Ablesewerte Wasser'!F52-'Ablesewerte Wasser'!E52)</f>
        <v>182</v>
      </c>
      <c r="F39" s="54" t="n">
        <f aca="false">SUM('Ablesewerte Wasser'!G52-'Ablesewerte Wasser'!F52)</f>
        <v>224</v>
      </c>
      <c r="G39" s="54" t="n">
        <f aca="false">SUM('Ablesewerte Wasser'!H52-'Ablesewerte Wasser'!G52)</f>
        <v>105</v>
      </c>
      <c r="H39" s="54" t="n">
        <f aca="false">SUM('Ablesewerte Wasser'!I52-'Ablesewerte Wasser'!H52)</f>
        <v>231</v>
      </c>
      <c r="I39" s="54" t="n">
        <f aca="false">SUM('Ablesewerte Wasser'!J52-'Ablesewerte Wasser'!I52)</f>
        <v>268</v>
      </c>
      <c r="J39" s="54" t="n">
        <f aca="false">SUM('Ablesewerte Wasser'!K52-'Ablesewerte Wasser'!J52)</f>
        <v>14</v>
      </c>
      <c r="K39" s="54" t="n">
        <f aca="false">SUM('Ablesewerte Wasser'!L52-'Ablesewerte Wasser'!K52)</f>
        <v>186</v>
      </c>
      <c r="L39" s="54" t="n">
        <f aca="false">SUM('Ablesewerte Wasser'!M52-'Ablesewerte Wasser'!L52)</f>
        <v>163</v>
      </c>
      <c r="M39" s="54" t="n">
        <f aca="false">SUM('Ablesewerte Wasser'!N52-'Ablesewerte Wasser'!M52)</f>
        <v>221</v>
      </c>
      <c r="N39" s="54" t="n">
        <f aca="false">SUM('Ablesewerte Wasser'!O52-'Ablesewerte Wasser'!N52)</f>
        <v>174</v>
      </c>
      <c r="P39" s="1" t="n">
        <f aca="false">SUM(C39:O39)</f>
        <v>2239</v>
      </c>
    </row>
    <row r="40" customFormat="false" ht="12.75" hidden="false" customHeight="false" outlineLevel="0" collapsed="false">
      <c r="A40" s="1" t="s">
        <v>58</v>
      </c>
      <c r="C40" s="54" t="n">
        <f aca="false">SUM('Ablesewerte Wasser'!D53-'Ablesewerte Wasser'!C53)</f>
        <v>23</v>
      </c>
      <c r="D40" s="54" t="n">
        <f aca="false">SUM('Ablesewerte Wasser'!E53-'Ablesewerte Wasser'!D53)</f>
        <v>31</v>
      </c>
      <c r="E40" s="54" t="n">
        <f aca="false">SUM('Ablesewerte Wasser'!F53-'Ablesewerte Wasser'!E53)</f>
        <v>29</v>
      </c>
      <c r="F40" s="54" t="n">
        <f aca="false">SUM('Ablesewerte Wasser'!G53-'Ablesewerte Wasser'!F53)</f>
        <v>36</v>
      </c>
      <c r="G40" s="54" t="n">
        <f aca="false">SUM('Ablesewerte Wasser'!H53-'Ablesewerte Wasser'!G53)</f>
        <v>9</v>
      </c>
      <c r="H40" s="54" t="n">
        <f aca="false">SUM('Ablesewerte Wasser'!I53-'Ablesewerte Wasser'!H53)</f>
        <v>27</v>
      </c>
      <c r="I40" s="54" t="n">
        <f aca="false">SUM('Ablesewerte Wasser'!J53-'Ablesewerte Wasser'!I53)</f>
        <v>28</v>
      </c>
      <c r="J40" s="54" t="n">
        <f aca="false">SUM('Ablesewerte Wasser'!K53-'Ablesewerte Wasser'!J53)</f>
        <v>2</v>
      </c>
      <c r="K40" s="54" t="n">
        <f aca="false">SUM('Ablesewerte Wasser'!L53-'Ablesewerte Wasser'!K53)</f>
        <v>20</v>
      </c>
      <c r="L40" s="54" t="n">
        <f aca="false">SUM('Ablesewerte Wasser'!M53-'Ablesewerte Wasser'!L53)</f>
        <v>24</v>
      </c>
      <c r="M40" s="54" t="n">
        <f aca="false">SUM('Ablesewerte Wasser'!N53-'Ablesewerte Wasser'!M53)</f>
        <v>28</v>
      </c>
      <c r="N40" s="54" t="n">
        <f aca="false">SUM('Ablesewerte Wasser'!O53-'Ablesewerte Wasser'!N53)</f>
        <v>19</v>
      </c>
      <c r="P40" s="1" t="n">
        <f aca="false">SUM(C40:O40)</f>
        <v>276</v>
      </c>
    </row>
    <row r="41" customFormat="false" ht="12.75" hidden="false" customHeight="false" outlineLevel="0" collapsed="false">
      <c r="A41" s="1" t="s">
        <v>19</v>
      </c>
      <c r="C41" s="54" t="n">
        <f aca="false">SUM('Ablesewerte Wasser'!D54-'Ablesewerte Wasser'!C54)</f>
        <v>6</v>
      </c>
      <c r="D41" s="54" t="n">
        <f aca="false">SUM('Ablesewerte Wasser'!E54-'Ablesewerte Wasser'!D54)</f>
        <v>5</v>
      </c>
      <c r="E41" s="54" t="n">
        <f aca="false">SUM('Ablesewerte Wasser'!F54-'Ablesewerte Wasser'!E54)</f>
        <v>6</v>
      </c>
      <c r="F41" s="54" t="n">
        <f aca="false">SUM('Ablesewerte Wasser'!G54-'Ablesewerte Wasser'!F54)</f>
        <v>5</v>
      </c>
      <c r="G41" s="54" t="n">
        <f aca="false">SUM('Ablesewerte Wasser'!H54-'Ablesewerte Wasser'!G54)</f>
        <v>4</v>
      </c>
      <c r="H41" s="54" t="n">
        <f aca="false">SUM('Ablesewerte Wasser'!I54-'Ablesewerte Wasser'!H54)</f>
        <v>11</v>
      </c>
      <c r="I41" s="54" t="n">
        <f aca="false">SUM('Ablesewerte Wasser'!J54-'Ablesewerte Wasser'!I54)</f>
        <v>7</v>
      </c>
      <c r="J41" s="54" t="n">
        <f aca="false">SUM('Ablesewerte Wasser'!K54-'Ablesewerte Wasser'!J54)</f>
        <v>0</v>
      </c>
      <c r="K41" s="54" t="n">
        <f aca="false">SUM('Ablesewerte Wasser'!L54-'Ablesewerte Wasser'!K54)</f>
        <v>5</v>
      </c>
      <c r="L41" s="54" t="n">
        <f aca="false">SUM('Ablesewerte Wasser'!M54-'Ablesewerte Wasser'!L54)</f>
        <v>4</v>
      </c>
      <c r="M41" s="54" t="n">
        <f aca="false">SUM('Ablesewerte Wasser'!N54-'Ablesewerte Wasser'!M54)</f>
        <v>5</v>
      </c>
      <c r="N41" s="54" t="n">
        <f aca="false">SUM('Ablesewerte Wasser'!O54-'Ablesewerte Wasser'!N54)</f>
        <v>4</v>
      </c>
      <c r="P41" s="1" t="n">
        <f aca="false">SUM(C41:O41)</f>
        <v>62</v>
      </c>
    </row>
    <row r="42" customFormat="false" ht="12.75" hidden="false" customHeight="false" outlineLevel="0" collapsed="false">
      <c r="A42" s="1" t="s">
        <v>18</v>
      </c>
      <c r="C42" s="54" t="n">
        <f aca="false">SUM('Ablesewerte Wasser'!D55-'Ablesewerte Wasser'!C55)</f>
        <v>10</v>
      </c>
      <c r="D42" s="54" t="n">
        <f aca="false">SUM('Ablesewerte Wasser'!E55-'Ablesewerte Wasser'!D55)</f>
        <v>11</v>
      </c>
      <c r="E42" s="54" t="n">
        <f aca="false">SUM('Ablesewerte Wasser'!F55-'Ablesewerte Wasser'!E55)</f>
        <v>12</v>
      </c>
      <c r="F42" s="54" t="n">
        <f aca="false">SUM('Ablesewerte Wasser'!G55-'Ablesewerte Wasser'!F55)</f>
        <v>14</v>
      </c>
      <c r="G42" s="54" t="n">
        <f aca="false">SUM('Ablesewerte Wasser'!H55-'Ablesewerte Wasser'!G55)</f>
        <v>10</v>
      </c>
      <c r="H42" s="54" t="n">
        <f aca="false">SUM('Ablesewerte Wasser'!I55-'Ablesewerte Wasser'!H55)</f>
        <v>13</v>
      </c>
      <c r="I42" s="54" t="n">
        <f aca="false">SUM('Ablesewerte Wasser'!J55-'Ablesewerte Wasser'!I55)</f>
        <v>27</v>
      </c>
      <c r="J42" s="54" t="n">
        <f aca="false">SUM('Ablesewerte Wasser'!K55-'Ablesewerte Wasser'!J55)</f>
        <v>0</v>
      </c>
      <c r="K42" s="54" t="n">
        <f aca="false">SUM('Ablesewerte Wasser'!L55-'Ablesewerte Wasser'!K55)</f>
        <v>0</v>
      </c>
      <c r="L42" s="54" t="n">
        <f aca="false">SUM('Ablesewerte Wasser'!M55-'Ablesewerte Wasser'!L55)</f>
        <v>0</v>
      </c>
      <c r="M42" s="54" t="n">
        <f aca="false">SUM('Ablesewerte Wasser'!N55-'Ablesewerte Wasser'!M55)</f>
        <v>0</v>
      </c>
      <c r="N42" s="54" t="n">
        <f aca="false">SUM('Ablesewerte Wasser'!O55-'Ablesewerte Wasser'!N55)</f>
        <v>55</v>
      </c>
      <c r="P42" s="54" t="n">
        <f aca="false">SUM(C42:N42)</f>
        <v>152</v>
      </c>
    </row>
    <row r="43" customFormat="false" ht="12.75" hidden="false" customHeight="false" outlineLevel="0" collapsed="false">
      <c r="I43" s="54"/>
    </row>
    <row r="45" customFormat="false" ht="15" hidden="false" customHeight="false" outlineLevel="0" collapsed="false">
      <c r="A45" s="2" t="n">
        <v>2017</v>
      </c>
      <c r="B45" s="1" t="s">
        <v>1</v>
      </c>
      <c r="C45" s="79" t="s">
        <v>2</v>
      </c>
      <c r="D45" s="79" t="s">
        <v>3</v>
      </c>
      <c r="E45" s="79" t="s">
        <v>4</v>
      </c>
      <c r="F45" s="79" t="s">
        <v>5</v>
      </c>
      <c r="G45" s="79" t="s">
        <v>6</v>
      </c>
      <c r="H45" s="79" t="s">
        <v>7</v>
      </c>
      <c r="I45" s="79" t="s">
        <v>8</v>
      </c>
      <c r="J45" s="79" t="s">
        <v>9</v>
      </c>
      <c r="K45" s="79" t="s">
        <v>10</v>
      </c>
      <c r="L45" s="79" t="s">
        <v>11</v>
      </c>
      <c r="M45" s="79" t="s">
        <v>12</v>
      </c>
      <c r="N45" s="79" t="s">
        <v>13</v>
      </c>
    </row>
    <row r="47" customFormat="false" ht="12.75" hidden="false" customHeight="false" outlineLevel="0" collapsed="false">
      <c r="A47" s="1" t="s">
        <v>57</v>
      </c>
      <c r="C47" s="54" t="n">
        <f aca="false">SUM('Ablesewerte Wasser'!D62-'Ablesewerte Wasser'!C62)</f>
        <v>146</v>
      </c>
      <c r="D47" s="54" t="n">
        <f aca="false">SUM('Ablesewerte Wasser'!E62-'Ablesewerte Wasser'!D62)</f>
        <v>210</v>
      </c>
      <c r="E47" s="54" t="n">
        <f aca="false">SUM('Ablesewerte Wasser'!F62-'Ablesewerte Wasser'!E62)</f>
        <v>205</v>
      </c>
      <c r="F47" s="54" t="n">
        <f aca="false">SUM('Ablesewerte Wasser'!G62-'Ablesewerte Wasser'!F62)</f>
        <v>113</v>
      </c>
      <c r="G47" s="54" t="n">
        <f aca="false">SUM('Ablesewerte Wasser'!H62-'Ablesewerte Wasser'!G62)</f>
        <v>212</v>
      </c>
      <c r="H47" s="54" t="n">
        <f aca="false">SUM('Ablesewerte Wasser'!I62-'Ablesewerte Wasser'!H62)</f>
        <v>155</v>
      </c>
      <c r="I47" s="54" t="n">
        <f aca="false">SUM('Ablesewerte Wasser'!J62-'Ablesewerte Wasser'!I62)</f>
        <v>120</v>
      </c>
      <c r="J47" s="54" t="n">
        <f aca="false">SUM('Ablesewerte Wasser'!K62-'Ablesewerte Wasser'!J62)</f>
        <v>100</v>
      </c>
      <c r="K47" s="54" t="n">
        <f aca="false">SUM('Ablesewerte Wasser'!L62-'Ablesewerte Wasser'!K62)</f>
        <v>172</v>
      </c>
      <c r="L47" s="54" t="n">
        <f aca="false">SUM('Ablesewerte Wasser'!M62-'Ablesewerte Wasser'!L62)</f>
        <v>147</v>
      </c>
      <c r="M47" s="54" t="n">
        <f aca="false">SUM('Ablesewerte Wasser'!N62-'Ablesewerte Wasser'!M62)</f>
        <v>194</v>
      </c>
      <c r="N47" s="54" t="n">
        <f aca="false">SUM('Ablesewerte Wasser'!O62-'Ablesewerte Wasser'!N62)</f>
        <v>173</v>
      </c>
      <c r="P47" s="1" t="n">
        <f aca="false">SUM(C47:O47)</f>
        <v>1947</v>
      </c>
    </row>
    <row r="48" customFormat="false" ht="12.75" hidden="false" customHeight="false" outlineLevel="0" collapsed="false">
      <c r="A48" s="1" t="s">
        <v>58</v>
      </c>
      <c r="C48" s="54" t="n">
        <f aca="false">SUM('Ablesewerte Wasser'!D63-'Ablesewerte Wasser'!C63)</f>
        <v>20</v>
      </c>
      <c r="D48" s="54" t="n">
        <f aca="false">SUM('Ablesewerte Wasser'!E63-'Ablesewerte Wasser'!D63)</f>
        <v>33</v>
      </c>
      <c r="E48" s="54" t="n">
        <f aca="false">SUM('Ablesewerte Wasser'!F63-'Ablesewerte Wasser'!E63)</f>
        <v>34</v>
      </c>
      <c r="F48" s="54" t="n">
        <f aca="false">SUM('Ablesewerte Wasser'!G63-'Ablesewerte Wasser'!F63)</f>
        <v>19</v>
      </c>
      <c r="G48" s="54" t="n">
        <f aca="false">SUM('Ablesewerte Wasser'!H63-'Ablesewerte Wasser'!G63)</f>
        <v>21</v>
      </c>
      <c r="H48" s="54" t="n">
        <f aca="false">SUM('Ablesewerte Wasser'!I63-'Ablesewerte Wasser'!H63)</f>
        <v>13</v>
      </c>
      <c r="I48" s="54" t="n">
        <f aca="false">SUM('Ablesewerte Wasser'!J63-'Ablesewerte Wasser'!I63)</f>
        <v>19</v>
      </c>
      <c r="J48" s="54" t="n">
        <f aca="false">SUM('Ablesewerte Wasser'!K63-'Ablesewerte Wasser'!J63)</f>
        <v>9</v>
      </c>
      <c r="K48" s="54" t="n">
        <f aca="false">SUM('Ablesewerte Wasser'!L63-'Ablesewerte Wasser'!K63)</f>
        <v>26</v>
      </c>
      <c r="L48" s="54" t="n">
        <f aca="false">SUM('Ablesewerte Wasser'!M63-'Ablesewerte Wasser'!L63)</f>
        <v>19</v>
      </c>
      <c r="M48" s="54" t="n">
        <f aca="false">SUM('Ablesewerte Wasser'!N63-'Ablesewerte Wasser'!M63)</f>
        <v>33</v>
      </c>
      <c r="N48" s="54" t="n">
        <f aca="false">SUM('Ablesewerte Wasser'!O63-'Ablesewerte Wasser'!N63)</f>
        <v>22</v>
      </c>
      <c r="P48" s="1" t="n">
        <f aca="false">SUM(C48:O48)</f>
        <v>268</v>
      </c>
    </row>
    <row r="49" customFormat="false" ht="12.75" hidden="false" customHeight="false" outlineLevel="0" collapsed="false">
      <c r="A49" s="1" t="s">
        <v>19</v>
      </c>
      <c r="C49" s="54" t="n">
        <f aca="false">SUM('Ablesewerte Wasser'!D64-'Ablesewerte Wasser'!C64)</f>
        <v>5</v>
      </c>
      <c r="D49" s="54" t="n">
        <f aca="false">SUM('Ablesewerte Wasser'!E64-'Ablesewerte Wasser'!D64)</f>
        <v>6</v>
      </c>
      <c r="E49" s="54" t="n">
        <f aca="false">SUM('Ablesewerte Wasser'!F64-'Ablesewerte Wasser'!E64)</f>
        <v>6</v>
      </c>
      <c r="F49" s="54" t="n">
        <f aca="false">SUM('Ablesewerte Wasser'!G64-'Ablesewerte Wasser'!F64)</f>
        <v>3</v>
      </c>
      <c r="G49" s="54" t="n">
        <f aca="false">SUM('Ablesewerte Wasser'!H64-'Ablesewerte Wasser'!G64)</f>
        <v>6</v>
      </c>
      <c r="H49" s="54" t="n">
        <f aca="false">SUM('Ablesewerte Wasser'!I64-'Ablesewerte Wasser'!H64)</f>
        <v>5</v>
      </c>
      <c r="I49" s="54" t="n">
        <f aca="false">SUM('Ablesewerte Wasser'!J64-'Ablesewerte Wasser'!I64)</f>
        <v>0</v>
      </c>
      <c r="J49" s="54" t="n">
        <f aca="false">SUM('Ablesewerte Wasser'!K64-'Ablesewerte Wasser'!J64)</f>
        <v>4</v>
      </c>
      <c r="K49" s="54" t="n">
        <f aca="false">SUM('Ablesewerte Wasser'!L64-'Ablesewerte Wasser'!K64)</f>
        <v>52</v>
      </c>
      <c r="L49" s="54" t="n">
        <f aca="false">SUM('Ablesewerte Wasser'!M64-'Ablesewerte Wasser'!L64)</f>
        <v>4</v>
      </c>
      <c r="M49" s="54" t="n">
        <f aca="false">SUM('Ablesewerte Wasser'!N64-'Ablesewerte Wasser'!M64)</f>
        <v>4</v>
      </c>
      <c r="N49" s="54" t="n">
        <f aca="false">SUM('Ablesewerte Wasser'!O64-'Ablesewerte Wasser'!N64)</f>
        <v>4</v>
      </c>
      <c r="P49" s="1" t="n">
        <f aca="false">SUM(C49:O49)</f>
        <v>99</v>
      </c>
    </row>
    <row r="50" customFormat="false" ht="12.75" hidden="false" customHeight="false" outlineLevel="0" collapsed="false">
      <c r="A50" s="1" t="s">
        <v>18</v>
      </c>
      <c r="C50" s="54" t="n">
        <f aca="false">SUM('Ablesewerte Wasser'!D65-'Ablesewerte Wasser'!C65)</f>
        <v>10</v>
      </c>
      <c r="D50" s="54" t="n">
        <f aca="false">SUM('Ablesewerte Wasser'!E65-'Ablesewerte Wasser'!D65)</f>
        <v>10</v>
      </c>
      <c r="E50" s="54" t="n">
        <f aca="false">SUM('Ablesewerte Wasser'!F65-'Ablesewerte Wasser'!E65)</f>
        <v>14</v>
      </c>
      <c r="F50" s="54" t="n">
        <f aca="false">SUM('Ablesewerte Wasser'!G65-'Ablesewerte Wasser'!F65)</f>
        <v>14</v>
      </c>
      <c r="G50" s="54" t="n">
        <f aca="false">SUM('Ablesewerte Wasser'!H65-'Ablesewerte Wasser'!G65)</f>
        <v>16</v>
      </c>
      <c r="H50" s="54" t="n">
        <f aca="false">SUM('Ablesewerte Wasser'!I65-'Ablesewerte Wasser'!H65)</f>
        <v>0</v>
      </c>
      <c r="I50" s="54" t="n">
        <f aca="false">SUM('Ablesewerte Wasser'!J65-'Ablesewerte Wasser'!I65)</f>
        <v>0</v>
      </c>
      <c r="J50" s="54" t="n">
        <f aca="false">SUM('Ablesewerte Wasser'!K65-'Ablesewerte Wasser'!J65)</f>
        <v>0</v>
      </c>
      <c r="K50" s="54" t="n">
        <f aca="false">SUM('Ablesewerte Wasser'!L65-'Ablesewerte Wasser'!K65)</f>
        <v>0</v>
      </c>
      <c r="L50" s="54" t="n">
        <f aca="false">SUM('Ablesewerte Wasser'!M65-'Ablesewerte Wasser'!L65)</f>
        <v>0</v>
      </c>
      <c r="M50" s="54" t="n">
        <f aca="false">SUM('Ablesewerte Wasser'!N65-'Ablesewerte Wasser'!M65)</f>
        <v>63</v>
      </c>
      <c r="N50" s="54" t="n">
        <f aca="false">SUM('Ablesewerte Wasser'!O65-'Ablesewerte Wasser'!N65)</f>
        <v>14</v>
      </c>
      <c r="P50" s="54" t="n">
        <f aca="false">SUM(C50:N50)</f>
        <v>141</v>
      </c>
    </row>
    <row r="54" customFormat="false" ht="15" hidden="false" customHeight="false" outlineLevel="0" collapsed="false">
      <c r="A54" s="2" t="n">
        <v>2018</v>
      </c>
      <c r="B54" s="1" t="s">
        <v>1</v>
      </c>
      <c r="C54" s="79" t="s">
        <v>2</v>
      </c>
      <c r="D54" s="79" t="s">
        <v>3</v>
      </c>
      <c r="E54" s="79" t="s">
        <v>4</v>
      </c>
      <c r="F54" s="79" t="s">
        <v>5</v>
      </c>
      <c r="G54" s="79" t="s">
        <v>6</v>
      </c>
      <c r="H54" s="79" t="s">
        <v>7</v>
      </c>
      <c r="I54" s="79" t="s">
        <v>8</v>
      </c>
      <c r="J54" s="79" t="s">
        <v>9</v>
      </c>
      <c r="K54" s="79" t="s">
        <v>10</v>
      </c>
      <c r="L54" s="79" t="s">
        <v>11</v>
      </c>
      <c r="M54" s="79" t="s">
        <v>12</v>
      </c>
      <c r="N54" s="79" t="s">
        <v>13</v>
      </c>
    </row>
    <row r="56" customFormat="false" ht="12.75" hidden="false" customHeight="false" outlineLevel="0" collapsed="false">
      <c r="A56" s="1" t="s">
        <v>57</v>
      </c>
      <c r="C56" s="54" t="n">
        <f aca="false">SUM('Ablesewerte Wasser'!D72-'Ablesewerte Wasser'!C72)</f>
        <v>167</v>
      </c>
      <c r="D56" s="54" t="n">
        <f aca="false">SUM('Ablesewerte Wasser'!E72-'Ablesewerte Wasser'!D72)</f>
        <v>154</v>
      </c>
      <c r="E56" s="54" t="n">
        <f aca="false">SUM('Ablesewerte Wasser'!F72-'Ablesewerte Wasser'!E72)</f>
        <v>198</v>
      </c>
      <c r="F56" s="54" t="n">
        <f aca="false">SUM('Ablesewerte Wasser'!G72-'Ablesewerte Wasser'!F72)</f>
        <v>147</v>
      </c>
      <c r="G56" s="54" t="n">
        <f aca="false">SUM('Ablesewerte Wasser'!H72-'Ablesewerte Wasser'!G72)</f>
        <v>128</v>
      </c>
      <c r="H56" s="54" t="n">
        <f aca="false">SUM('Ablesewerte Wasser'!I72-'Ablesewerte Wasser'!H72)</f>
        <v>192</v>
      </c>
      <c r="I56" s="54" t="n">
        <f aca="false">SUM('Ablesewerte Wasser'!J72-'Ablesewerte Wasser'!I72)</f>
        <v>166</v>
      </c>
      <c r="J56" s="54" t="n">
        <f aca="false">SUM('Ablesewerte Wasser'!K72-'Ablesewerte Wasser'!J72)</f>
        <v>130</v>
      </c>
      <c r="K56" s="54" t="n">
        <f aca="false">SUM('Ablesewerte Wasser'!L72-'Ablesewerte Wasser'!K72)</f>
        <v>211</v>
      </c>
      <c r="L56" s="54" t="n">
        <f aca="false">SUM('Ablesewerte Wasser'!M72-'Ablesewerte Wasser'!L72)</f>
        <v>190</v>
      </c>
      <c r="M56" s="54" t="n">
        <f aca="false">SUM('Ablesewerte Wasser'!N72-'Ablesewerte Wasser'!M72)</f>
        <v>203</v>
      </c>
      <c r="N56" s="54" t="n">
        <f aca="false">SUM('Ablesewerte Wasser'!O71-'Ablesewerte Wasser'!N71)</f>
        <v>0</v>
      </c>
      <c r="P56" s="1" t="n">
        <f aca="false">SUM(C56:O56)</f>
        <v>1886</v>
      </c>
    </row>
    <row r="57" customFormat="false" ht="12.75" hidden="false" customHeight="false" outlineLevel="0" collapsed="false">
      <c r="A57" s="1" t="s">
        <v>58</v>
      </c>
      <c r="C57" s="54" t="n">
        <f aca="false">SUM('Ablesewerte Wasser'!D73-'Ablesewerte Wasser'!C73)</f>
        <v>23</v>
      </c>
      <c r="D57" s="54" t="n">
        <f aca="false">SUM('Ablesewerte Wasser'!E73-'Ablesewerte Wasser'!D73)</f>
        <v>21</v>
      </c>
      <c r="E57" s="54" t="n">
        <f aca="false">SUM('Ablesewerte Wasser'!F73-'Ablesewerte Wasser'!E73)</f>
        <v>27</v>
      </c>
      <c r="F57" s="54" t="n">
        <f aca="false">SUM('Ablesewerte Wasser'!G73-'Ablesewerte Wasser'!F73)</f>
        <v>16</v>
      </c>
      <c r="G57" s="54" t="n">
        <f aca="false">SUM('Ablesewerte Wasser'!H73-'Ablesewerte Wasser'!G73)</f>
        <v>14</v>
      </c>
      <c r="H57" s="54" t="n">
        <f aca="false">SUM('Ablesewerte Wasser'!I73-'Ablesewerte Wasser'!H73)</f>
        <v>23</v>
      </c>
      <c r="I57" s="54" t="n">
        <f aca="false">SUM('Ablesewerte Wasser'!J73-'Ablesewerte Wasser'!I73)</f>
        <v>24</v>
      </c>
      <c r="J57" s="54" t="n">
        <f aca="false">SUM('Ablesewerte Wasser'!K73-'Ablesewerte Wasser'!J73)</f>
        <v>22</v>
      </c>
      <c r="K57" s="54" t="n">
        <f aca="false">SUM('Ablesewerte Wasser'!L73-'Ablesewerte Wasser'!K73)</f>
        <v>25</v>
      </c>
      <c r="L57" s="54" t="n">
        <f aca="false">SUM('Ablesewerte Wasser'!M73-'Ablesewerte Wasser'!L73)</f>
        <v>24</v>
      </c>
      <c r="M57" s="54" t="n">
        <f aca="false">SUM('Ablesewerte Wasser'!N73-'Ablesewerte Wasser'!M73)</f>
        <v>24</v>
      </c>
      <c r="N57" s="54" t="n">
        <f aca="false">SUM('Ablesewerte Wasser'!O73-'Ablesewerte Wasser'!N73)</f>
        <v>21</v>
      </c>
      <c r="P57" s="1" t="n">
        <f aca="false">SUM(C57:O57)</f>
        <v>264</v>
      </c>
    </row>
    <row r="58" customFormat="false" ht="12.75" hidden="false" customHeight="false" outlineLevel="0" collapsed="false">
      <c r="A58" s="1" t="s">
        <v>19</v>
      </c>
      <c r="C58" s="54" t="n">
        <f aca="false">SUM('Ablesewerte Wasser'!D74-'Ablesewerte Wasser'!C74)</f>
        <v>11</v>
      </c>
      <c r="D58" s="54" t="n">
        <f aca="false">SUM('Ablesewerte Wasser'!E74-'Ablesewerte Wasser'!D74)</f>
        <v>4</v>
      </c>
      <c r="E58" s="54" t="n">
        <f aca="false">SUM('Ablesewerte Wasser'!F74-'Ablesewerte Wasser'!E74)</f>
        <v>6</v>
      </c>
      <c r="F58" s="54" t="n">
        <f aca="false">SUM('Ablesewerte Wasser'!G74-'Ablesewerte Wasser'!F74)</f>
        <v>6</v>
      </c>
      <c r="G58" s="54" t="n">
        <f aca="false">SUM('Ablesewerte Wasser'!H74-'Ablesewerte Wasser'!G74)</f>
        <v>3</v>
      </c>
      <c r="H58" s="54" t="n">
        <f aca="false">SUM('Ablesewerte Wasser'!I74-'Ablesewerte Wasser'!H74)</f>
        <v>4</v>
      </c>
      <c r="I58" s="54" t="n">
        <f aca="false">SUM('Ablesewerte Wasser'!J74-'Ablesewerte Wasser'!I74)</f>
        <v>5</v>
      </c>
      <c r="J58" s="54" t="n">
        <f aca="false">SUM('Ablesewerte Wasser'!K74-'Ablesewerte Wasser'!J74)</f>
        <v>0</v>
      </c>
      <c r="K58" s="54" t="n">
        <f aca="false">SUM('Ablesewerte Wasser'!L74-'Ablesewerte Wasser'!K74)</f>
        <v>4</v>
      </c>
      <c r="L58" s="54" t="n">
        <f aca="false">SUM('Ablesewerte Wasser'!M74-'Ablesewerte Wasser'!L74)</f>
        <v>77</v>
      </c>
      <c r="M58" s="54" t="n">
        <f aca="false">SUM('Ablesewerte Wasser'!N74-'Ablesewerte Wasser'!M74)</f>
        <v>5</v>
      </c>
      <c r="N58" s="54" t="n">
        <f aca="false">SUM('Ablesewerte Wasser'!O74-'Ablesewerte Wasser'!N74)</f>
        <v>5</v>
      </c>
      <c r="P58" s="1" t="n">
        <f aca="false">SUM(C58:O58)</f>
        <v>130</v>
      </c>
    </row>
    <row r="59" customFormat="false" ht="12.75" hidden="false" customHeight="false" outlineLevel="0" collapsed="false">
      <c r="A59" s="1" t="s">
        <v>18</v>
      </c>
      <c r="C59" s="54" t="n">
        <f aca="false">SUM('Ablesewerte Wasser'!D75-'Ablesewerte Wasser'!C75)</f>
        <v>0</v>
      </c>
      <c r="D59" s="54" t="n">
        <f aca="false">SUM('Ablesewerte Wasser'!E75-'Ablesewerte Wasser'!D75)</f>
        <v>27</v>
      </c>
      <c r="E59" s="54" t="n">
        <f aca="false">SUM('Ablesewerte Wasser'!F75-'Ablesewerte Wasser'!E75)</f>
        <v>14</v>
      </c>
      <c r="F59" s="54" t="n">
        <f aca="false">SUM('Ablesewerte Wasser'!G75-'Ablesewerte Wasser'!F75)</f>
        <v>0</v>
      </c>
      <c r="G59" s="54" t="n">
        <f aca="false">SUM('Ablesewerte Wasser'!H75-'Ablesewerte Wasser'!G75)</f>
        <v>0</v>
      </c>
      <c r="H59" s="54" t="n">
        <f aca="false">SUM('Ablesewerte Wasser'!I75-'Ablesewerte Wasser'!F75)</f>
        <v>40</v>
      </c>
      <c r="I59" s="54" t="n">
        <f aca="false">SUM('Ablesewerte Wasser'!J75-'Ablesewerte Wasser'!I75)</f>
        <v>0</v>
      </c>
      <c r="J59" s="54" t="n">
        <f aca="false">SUM('Ablesewerte Wasser'!K75-'Ablesewerte Wasser'!J75)</f>
        <v>0</v>
      </c>
      <c r="K59" s="54" t="n">
        <f aca="false">SUM('Ablesewerte Wasser'!L75-'Ablesewerte Wasser'!K75)</f>
        <v>0</v>
      </c>
      <c r="L59" s="54" t="n">
        <f aca="false">SUM('Ablesewerte Wasser'!M75-'Ablesewerte Wasser'!L75)</f>
        <v>0</v>
      </c>
      <c r="M59" s="54" t="n">
        <f aca="false">SUM('Ablesewerte Wasser'!N75-'Ablesewerte Wasser'!M75)</f>
        <v>62</v>
      </c>
      <c r="N59" s="54" t="n">
        <f aca="false">SUM('Ablesewerte Wasser'!O75-'Ablesewerte Wasser'!N75)</f>
        <v>12</v>
      </c>
      <c r="P59" s="54" t="n">
        <f aca="false">SUM(C59:N59)</f>
        <v>155</v>
      </c>
    </row>
    <row r="64" customFormat="false" ht="15" hidden="false" customHeight="false" outlineLevel="0" collapsed="false">
      <c r="A64" s="2" t="n">
        <v>2019</v>
      </c>
      <c r="B64" s="1" t="s">
        <v>1</v>
      </c>
      <c r="C64" s="79" t="s">
        <v>2</v>
      </c>
      <c r="D64" s="79" t="s">
        <v>3</v>
      </c>
      <c r="E64" s="79" t="s">
        <v>4</v>
      </c>
      <c r="F64" s="79" t="s">
        <v>5</v>
      </c>
      <c r="G64" s="79" t="s">
        <v>6</v>
      </c>
      <c r="H64" s="79" t="s">
        <v>7</v>
      </c>
      <c r="I64" s="79" t="s">
        <v>8</v>
      </c>
      <c r="J64" s="79" t="s">
        <v>9</v>
      </c>
      <c r="K64" s="79" t="s">
        <v>10</v>
      </c>
      <c r="L64" s="79" t="s">
        <v>11</v>
      </c>
      <c r="M64" s="79" t="s">
        <v>12</v>
      </c>
      <c r="N64" s="79" t="s">
        <v>13</v>
      </c>
    </row>
    <row r="66" customFormat="false" ht="12.75" hidden="false" customHeight="false" outlineLevel="0" collapsed="false">
      <c r="A66" s="1" t="s">
        <v>57</v>
      </c>
      <c r="C66" s="54" t="n">
        <f aca="false">SUM('Ablesewerte Wasser'!D87-'Ablesewerte Wasser'!C87)</f>
        <v>203</v>
      </c>
      <c r="D66" s="54" t="n">
        <f aca="false">SUM('Ablesewerte Wasser'!E87-'Ablesewerte Wasser'!D87)</f>
        <v>261</v>
      </c>
      <c r="E66" s="54" t="n">
        <f aca="false">SUM('Ablesewerte Wasser'!F87-'Ablesewerte Wasser'!E87)</f>
        <v>163</v>
      </c>
      <c r="F66" s="54" t="n">
        <f aca="false">SUM('Ablesewerte Wasser'!G87-'Ablesewerte Wasser'!F87)</f>
        <v>139</v>
      </c>
      <c r="G66" s="54" t="n">
        <f aca="false">SUM('Ablesewerte Wasser'!H87-'Ablesewerte Wasser'!G87)</f>
        <v>212</v>
      </c>
      <c r="H66" s="54" t="n">
        <f aca="false">SUM('Ablesewerte Wasser'!I87-'Ablesewerte Wasser'!H87)</f>
        <v>92</v>
      </c>
      <c r="I66" s="54" t="n">
        <f aca="false">SUM('Ablesewerte Wasser'!J87-'Ablesewerte Wasser'!I87)</f>
        <v>241</v>
      </c>
      <c r="J66" s="54" t="n">
        <f aca="false">SUM('Ablesewerte Wasser'!K87-'Ablesewerte Wasser'!J87)</f>
        <v>32</v>
      </c>
      <c r="K66" s="54" t="n">
        <f aca="false">SUM('Ablesewerte Wasser'!L87-'Ablesewerte Wasser'!K87)</f>
        <v>144</v>
      </c>
      <c r="L66" s="54" t="n">
        <f aca="false">SUM('Ablesewerte Wasser'!M87-'Ablesewerte Wasser'!L87)</f>
        <v>170</v>
      </c>
      <c r="M66" s="54" t="n">
        <f aca="false">SUM('Ablesewerte Wasser'!N87-'Ablesewerte Wasser'!M87)</f>
        <v>252</v>
      </c>
      <c r="N66" s="54" t="n">
        <f aca="false">SUM('Ablesewerte Wasser'!O87-'Ablesewerte Wasser'!N87)</f>
        <v>93</v>
      </c>
      <c r="P66" s="1" t="n">
        <f aca="false">SUM(C66:O66)</f>
        <v>2002</v>
      </c>
    </row>
    <row r="67" customFormat="false" ht="12.75" hidden="false" customHeight="false" outlineLevel="0" collapsed="false">
      <c r="A67" s="1" t="s">
        <v>58</v>
      </c>
      <c r="C67" s="54" t="n">
        <f aca="false">SUM('Ablesewerte Wasser'!D88-'Ablesewerte Wasser'!C88)</f>
        <v>23</v>
      </c>
      <c r="D67" s="54" t="n">
        <f aca="false">SUM('Ablesewerte Wasser'!E88-'Ablesewerte Wasser'!D88)</f>
        <v>20</v>
      </c>
      <c r="E67" s="54" t="n">
        <f aca="false">SUM('Ablesewerte Wasser'!F88-'Ablesewerte Wasser'!E88)</f>
        <v>24</v>
      </c>
      <c r="F67" s="54" t="n">
        <f aca="false">SUM('Ablesewerte Wasser'!G88-'Ablesewerte Wasser'!F88)</f>
        <v>16</v>
      </c>
      <c r="G67" s="54" t="n">
        <f aca="false">SUM('Ablesewerte Wasser'!H88-'Ablesewerte Wasser'!G88)</f>
        <v>24</v>
      </c>
      <c r="H67" s="54" t="n">
        <f aca="false">SUM('Ablesewerte Wasser'!I88-'Ablesewerte Wasser'!H88)</f>
        <v>18</v>
      </c>
      <c r="I67" s="54" t="n">
        <f aca="false">SUM('Ablesewerte Wasser'!J88-'Ablesewerte Wasser'!I88)</f>
        <v>13</v>
      </c>
      <c r="J67" s="54" t="n">
        <f aca="false">SUM('Ablesewerte Wasser'!K88-'Ablesewerte Wasser'!J88)</f>
        <v>6</v>
      </c>
      <c r="K67" s="54" t="n">
        <f aca="false">SUM('Ablesewerte Wasser'!L88-'Ablesewerte Wasser'!K88)</f>
        <v>11</v>
      </c>
      <c r="L67" s="54" t="n">
        <f aca="false">SUM('Ablesewerte Wasser'!M88-'Ablesewerte Wasser'!L88)</f>
        <v>14</v>
      </c>
      <c r="M67" s="54" t="n">
        <f aca="false">SUM('Ablesewerte Wasser'!N88-'Ablesewerte Wasser'!M88)</f>
        <v>26</v>
      </c>
      <c r="N67" s="54" t="n">
        <f aca="false">SUM('Ablesewerte Wasser'!O88-'Ablesewerte Wasser'!N88)</f>
        <v>10</v>
      </c>
      <c r="P67" s="1" t="n">
        <f aca="false">SUM(C67:O67)</f>
        <v>205</v>
      </c>
    </row>
    <row r="68" customFormat="false" ht="12.75" hidden="false" customHeight="false" outlineLevel="0" collapsed="false">
      <c r="A68" s="1" t="s">
        <v>19</v>
      </c>
      <c r="C68" s="54" t="n">
        <f aca="false">SUM('Ablesewerte Wasser'!D89-'Ablesewerte Wasser'!C89)</f>
        <v>5</v>
      </c>
      <c r="D68" s="54" t="n">
        <f aca="false">SUM('Ablesewerte Wasser'!E89-'Ablesewerte Wasser'!D89)</f>
        <v>5</v>
      </c>
      <c r="E68" s="54" t="n">
        <f aca="false">SUM('Ablesewerte Wasser'!F89-'Ablesewerte Wasser'!E89)</f>
        <v>37</v>
      </c>
      <c r="F68" s="54" t="n">
        <f aca="false">SUM('Ablesewerte Wasser'!G89-'Ablesewerte Wasser'!F89)</f>
        <v>4</v>
      </c>
      <c r="G68" s="54" t="n">
        <f aca="false">SUM('Ablesewerte Wasser'!H89-'Ablesewerte Wasser'!G89)</f>
        <v>7</v>
      </c>
      <c r="H68" s="54" t="n">
        <f aca="false">SUM('Ablesewerte Wasser'!I89-'Ablesewerte Wasser'!H89)</f>
        <v>2</v>
      </c>
      <c r="I68" s="54" t="n">
        <f aca="false">SUM('Ablesewerte Wasser'!J89-'Ablesewerte Wasser'!I89)</f>
        <v>7</v>
      </c>
      <c r="J68" s="54" t="n">
        <f aca="false">SUM('Ablesewerte Wasser'!K89-'Ablesewerte Wasser'!J89)</f>
        <v>0</v>
      </c>
      <c r="K68" s="54" t="n">
        <f aca="false">SUM('Ablesewerte Wasser'!L89-'Ablesewerte Wasser'!K89)</f>
        <v>15</v>
      </c>
      <c r="L68" s="54" t="n">
        <f aca="false">SUM('Ablesewerte Wasser'!M89-'Ablesewerte Wasser'!L89)</f>
        <v>18</v>
      </c>
      <c r="M68" s="54" t="n">
        <f aca="false">SUM('Ablesewerte Wasser'!N89-'Ablesewerte Wasser'!M89)</f>
        <v>9</v>
      </c>
      <c r="N68" s="54" t="n">
        <f aca="false">SUM('Ablesewerte Wasser'!O89-'Ablesewerte Wasser'!N89)</f>
        <v>2</v>
      </c>
      <c r="P68" s="1" t="n">
        <f aca="false">SUM(C68:O68)</f>
        <v>111</v>
      </c>
    </row>
    <row r="69" customFormat="false" ht="12.75" hidden="false" customHeight="false" outlineLevel="0" collapsed="false">
      <c r="A69" s="1" t="s">
        <v>18</v>
      </c>
      <c r="C69" s="54" t="n">
        <f aca="false">SUM('Ablesewerte Wasser'!D90-'Ablesewerte Wasser'!C90)</f>
        <v>0</v>
      </c>
      <c r="D69" s="54" t="n">
        <f aca="false">SUM('Ablesewerte Wasser'!E90-'Ablesewerte Wasser'!D90)</f>
        <v>0</v>
      </c>
      <c r="E69" s="54" t="n">
        <f aca="false">SUM('Ablesewerte Wasser'!F90-'Ablesewerte Wasser'!E90)</f>
        <v>0</v>
      </c>
      <c r="F69" s="54" t="n">
        <f aca="false">SUM('Ablesewerte Wasser'!G90-'Ablesewerte Wasser'!F90)</f>
        <v>0</v>
      </c>
      <c r="G69" s="54" t="n">
        <f aca="false">SUM('Ablesewerte Wasser'!H90-'Ablesewerte Wasser'!G90)</f>
        <v>0</v>
      </c>
      <c r="H69" s="54" t="n">
        <f aca="false">SUM('Ablesewerte Wasser'!I90-'Ablesewerte Wasser'!H90)</f>
        <v>71</v>
      </c>
      <c r="I69" s="54" t="n">
        <f aca="false">SUM('Ablesewerte Wasser'!J90-'Ablesewerte Wasser'!I90)</f>
        <v>17</v>
      </c>
      <c r="J69" s="54" t="n">
        <f aca="false">SUM('Ablesewerte Wasser'!K90-'Ablesewerte Wasser'!J90)</f>
        <v>8</v>
      </c>
      <c r="K69" s="54" t="n">
        <f aca="false">SUM('Ablesewerte Wasser'!L90-'Ablesewerte Wasser'!K90)</f>
        <v>8</v>
      </c>
      <c r="L69" s="54" t="n">
        <f aca="false">SUM('Ablesewerte Wasser'!M90-'Ablesewerte Wasser'!L90)</f>
        <v>0</v>
      </c>
      <c r="M69" s="54" t="n">
        <f aca="false">SUM('Ablesewerte Wasser'!N90-'Ablesewerte Wasser'!M90)</f>
        <v>0</v>
      </c>
      <c r="N69" s="54" t="n">
        <f aca="false">SUM('Ablesewerte Wasser'!O90-'Ablesewerte Wasser'!N90)</f>
        <v>30</v>
      </c>
      <c r="P69" s="54" t="n">
        <f aca="false">SUM(C69:N69)</f>
        <v>134</v>
      </c>
    </row>
    <row r="73" customFormat="false" ht="15" hidden="false" customHeight="false" outlineLevel="0" collapsed="false">
      <c r="A73" s="2" t="n">
        <v>2020</v>
      </c>
      <c r="B73" s="1" t="s">
        <v>1</v>
      </c>
      <c r="C73" s="79" t="s">
        <v>2</v>
      </c>
      <c r="D73" s="79" t="s">
        <v>3</v>
      </c>
      <c r="E73" s="79" t="s">
        <v>4</v>
      </c>
      <c r="F73" s="79" t="s">
        <v>5</v>
      </c>
      <c r="G73" s="79" t="s">
        <v>6</v>
      </c>
      <c r="H73" s="79" t="s">
        <v>7</v>
      </c>
      <c r="I73" s="79" t="s">
        <v>8</v>
      </c>
      <c r="J73" s="79" t="s">
        <v>9</v>
      </c>
      <c r="K73" s="79" t="s">
        <v>10</v>
      </c>
      <c r="L73" s="79" t="s">
        <v>11</v>
      </c>
      <c r="M73" s="79" t="s">
        <v>12</v>
      </c>
      <c r="N73" s="79" t="s">
        <v>13</v>
      </c>
    </row>
    <row r="75" customFormat="false" ht="12.75" hidden="false" customHeight="false" outlineLevel="0" collapsed="false">
      <c r="A75" s="1" t="s">
        <v>57</v>
      </c>
      <c r="C75" s="54" t="n">
        <f aca="false">SUM('Ablesewerte Wasser'!D103-'Ablesewerte Wasser'!C103)</f>
        <v>228</v>
      </c>
      <c r="D75" s="54" t="n">
        <f aca="false">SUM('Ablesewerte Wasser'!E103-'Ablesewerte Wasser'!D103)</f>
        <v>194</v>
      </c>
      <c r="E75" s="54" t="n">
        <f aca="false">SUM('Ablesewerte Wasser'!F103-'Ablesewerte Wasser'!E103)</f>
        <v>161</v>
      </c>
      <c r="F75" s="54" t="n">
        <f aca="false">SUM('Ablesewerte Wasser'!G103-'Ablesewerte Wasser'!F103)</f>
        <v>110</v>
      </c>
      <c r="G75" s="54" t="n">
        <f aca="false">SUM('Ablesewerte Wasser'!H103-'Ablesewerte Wasser'!G103)</f>
        <v>94</v>
      </c>
      <c r="H75" s="54" t="n">
        <f aca="false">SUM('Ablesewerte Wasser'!I103-'Ablesewerte Wasser'!H103)</f>
        <v>65</v>
      </c>
      <c r="I75" s="54" t="n">
        <f aca="false">SUM('Ablesewerte Wasser'!J103-'Ablesewerte Wasser'!I103)</f>
        <v>80</v>
      </c>
      <c r="J75" s="54" t="n">
        <f aca="false">SUM('Ablesewerte Wasser'!K103-'Ablesewerte Wasser'!J103)</f>
        <v>31</v>
      </c>
      <c r="K75" s="54" t="n">
        <f aca="false">SUM('Ablesewerte Wasser'!L103-'Ablesewerte Wasser'!K103)</f>
        <v>145</v>
      </c>
      <c r="L75" s="54" t="n">
        <f aca="false">SUM('Ablesewerte Wasser'!M103-'Ablesewerte Wasser'!L103)</f>
        <v>181</v>
      </c>
      <c r="M75" s="54" t="n">
        <f aca="false">SUM('Ablesewerte Wasser'!N103-'Ablesewerte Wasser'!M103)</f>
        <v>247</v>
      </c>
      <c r="N75" s="54" t="n">
        <f aca="false">SUM('Ablesewerte Wasser'!O103-'Ablesewerte Wasser'!N103)</f>
        <v>165</v>
      </c>
      <c r="P75" s="1" t="n">
        <f aca="false">SUM(C75:O75)</f>
        <v>1701</v>
      </c>
    </row>
    <row r="76" customFormat="false" ht="12.75" hidden="false" customHeight="false" outlineLevel="0" collapsed="false">
      <c r="A76" s="1" t="s">
        <v>58</v>
      </c>
      <c r="C76" s="54" t="n">
        <f aca="false">SUM('Ablesewerte Wasser'!D104-'Ablesewerte Wasser'!C104)</f>
        <v>20</v>
      </c>
      <c r="D76" s="54" t="n">
        <f aca="false">SUM('Ablesewerte Wasser'!E104-'Ablesewerte Wasser'!D104)</f>
        <v>10</v>
      </c>
      <c r="E76" s="54" t="n">
        <f aca="false">SUM('Ablesewerte Wasser'!F104-'Ablesewerte Wasser'!E104)</f>
        <v>8</v>
      </c>
      <c r="F76" s="54" t="n">
        <f aca="false">SUM('Ablesewerte Wasser'!G104-'Ablesewerte Wasser'!F104)</f>
        <v>5</v>
      </c>
      <c r="G76" s="54" t="n">
        <f aca="false">SUM('Ablesewerte Wasser'!H104-'Ablesewerte Wasser'!G104)</f>
        <v>9</v>
      </c>
      <c r="H76" s="54" t="n">
        <f aca="false">SUM('Ablesewerte Wasser'!I104-'Ablesewerte Wasser'!H104)</f>
        <v>6</v>
      </c>
      <c r="I76" s="54" t="n">
        <f aca="false">SUM('Ablesewerte Wasser'!J104-'Ablesewerte Wasser'!I104)</f>
        <v>9</v>
      </c>
      <c r="J76" s="54" t="n">
        <f aca="false">SUM('Ablesewerte Wasser'!K104-'Ablesewerte Wasser'!J104)</f>
        <v>8</v>
      </c>
      <c r="K76" s="54" t="n">
        <f aca="false">SUM('Ablesewerte Wasser'!L104-'Ablesewerte Wasser'!K104)</f>
        <v>15</v>
      </c>
      <c r="L76" s="54" t="n">
        <f aca="false">SUM('Ablesewerte Wasser'!M104-'Ablesewerte Wasser'!L104)</f>
        <v>24</v>
      </c>
      <c r="M76" s="54" t="n">
        <f aca="false">SUM('Ablesewerte Wasser'!N104-'Ablesewerte Wasser'!M104)</f>
        <v>0</v>
      </c>
      <c r="N76" s="54" t="n">
        <f aca="false">SUM('Ablesewerte Wasser'!O104-'Ablesewerte Wasser'!N104)</f>
        <v>7</v>
      </c>
      <c r="P76" s="1" t="n">
        <f aca="false">SUM(C76:O76)</f>
        <v>121</v>
      </c>
    </row>
    <row r="77" customFormat="false" ht="12.75" hidden="false" customHeight="false" outlineLevel="0" collapsed="false">
      <c r="A77" s="1" t="s">
        <v>19</v>
      </c>
      <c r="C77" s="54" t="n">
        <f aca="false">SUM('Ablesewerte Wasser'!D105-'Ablesewerte Wasser'!C105)</f>
        <v>6</v>
      </c>
      <c r="D77" s="54" t="n">
        <f aca="false">SUM('Ablesewerte Wasser'!E105-'Ablesewerte Wasser'!D105)</f>
        <v>6</v>
      </c>
      <c r="E77" s="54" t="n">
        <f aca="false">SUM('Ablesewerte Wasser'!F105-'Ablesewerte Wasser'!E105)</f>
        <v>3</v>
      </c>
      <c r="F77" s="54" t="n">
        <f aca="false">SUM('Ablesewerte Wasser'!G105-'Ablesewerte Wasser'!F105)</f>
        <v>0</v>
      </c>
      <c r="G77" s="54" t="n">
        <f aca="false">SUM('Ablesewerte Wasser'!H105-'Ablesewerte Wasser'!G105)</f>
        <v>4</v>
      </c>
      <c r="H77" s="54" t="n">
        <f aca="false">SUM('Ablesewerte Wasser'!I105-'Ablesewerte Wasser'!H105)</f>
        <v>2</v>
      </c>
      <c r="I77" s="54" t="n">
        <f aca="false">SUM('Ablesewerte Wasser'!J105-'Ablesewerte Wasser'!I105)</f>
        <v>5</v>
      </c>
      <c r="J77" s="54" t="n">
        <f aca="false">SUM('Ablesewerte Wasser'!K105-'Ablesewerte Wasser'!J105)</f>
        <v>3</v>
      </c>
      <c r="K77" s="54" t="n">
        <f aca="false">SUM('Ablesewerte Wasser'!L105-'Ablesewerte Wasser'!K105)</f>
        <v>3</v>
      </c>
      <c r="L77" s="54" t="n">
        <f aca="false">SUM('Ablesewerte Wasser'!M105-'Ablesewerte Wasser'!L105)</f>
        <v>3</v>
      </c>
      <c r="M77" s="54" t="n">
        <f aca="false">SUM('Ablesewerte Wasser'!N105-'Ablesewerte Wasser'!M105)</f>
        <v>4</v>
      </c>
      <c r="N77" s="54" t="n">
        <f aca="false">SUM('Ablesewerte Wasser'!O105-'Ablesewerte Wasser'!N105)</f>
        <v>2</v>
      </c>
      <c r="P77" s="1" t="n">
        <f aca="false">SUM(C77:O77)</f>
        <v>41</v>
      </c>
    </row>
    <row r="78" customFormat="false" ht="12.75" hidden="false" customHeight="false" outlineLevel="0" collapsed="false">
      <c r="A78" s="1" t="s">
        <v>18</v>
      </c>
      <c r="C78" s="54" t="n">
        <f aca="false">SUM('Ablesewerte Wasser'!D106-'Ablesewerte Wasser'!C106)</f>
        <v>0</v>
      </c>
      <c r="D78" s="54" t="n">
        <f aca="false">SUM('Ablesewerte Wasser'!E106-'Ablesewerte Wasser'!D106)</f>
        <v>0</v>
      </c>
      <c r="E78" s="54" t="n">
        <f aca="false">SUM('Ablesewerte Wasser'!F106-'Ablesewerte Wasser'!E106)</f>
        <v>41</v>
      </c>
      <c r="F78" s="54" t="n">
        <f aca="false">SUM('Ablesewerte Wasser'!G106-'Ablesewerte Wasser'!F106)</f>
        <v>0</v>
      </c>
      <c r="G78" s="54" t="n">
        <f aca="false">SUM('Ablesewerte Wasser'!H106-'Ablesewerte Wasser'!G106)</f>
        <v>23</v>
      </c>
      <c r="H78" s="54" t="n">
        <f aca="false">SUM('Ablesewerte Wasser'!I106-'Ablesewerte Wasser'!H106)</f>
        <v>0</v>
      </c>
      <c r="I78" s="54" t="n">
        <f aca="false">SUM('Ablesewerte Wasser'!J106-'Ablesewerte Wasser'!I106)</f>
        <v>0</v>
      </c>
      <c r="J78" s="54" t="n">
        <f aca="false">SUM('Ablesewerte Wasser'!K106-'Ablesewerte Wasser'!J106)</f>
        <v>30</v>
      </c>
      <c r="K78" s="54" t="n">
        <f aca="false">SUM('Ablesewerte Wasser'!L106-'Ablesewerte Wasser'!K106)</f>
        <v>0</v>
      </c>
      <c r="L78" s="54" t="n">
        <f aca="false">SUM('Ablesewerte Wasser'!M106-'Ablesewerte Wasser'!L106)</f>
        <v>0</v>
      </c>
      <c r="M78" s="54" t="n">
        <f aca="false">SUM('Ablesewerte Wasser'!N106-'Ablesewerte Wasser'!M106)</f>
        <v>0</v>
      </c>
      <c r="N78" s="54" t="n">
        <f aca="false">SUM('Ablesewerte Wasser'!O106-'Ablesewerte Wasser'!N106)</f>
        <v>32</v>
      </c>
      <c r="P78" s="54" t="n">
        <f aca="false">SUM(C78:N78)</f>
        <v>126</v>
      </c>
    </row>
    <row r="82" customFormat="false" ht="15" hidden="false" customHeight="false" outlineLevel="0" collapsed="false">
      <c r="A82" s="2" t="n">
        <v>2021</v>
      </c>
      <c r="B82" s="1" t="s">
        <v>1</v>
      </c>
      <c r="C82" s="79" t="s">
        <v>2</v>
      </c>
      <c r="D82" s="79" t="s">
        <v>3</v>
      </c>
      <c r="E82" s="79" t="s">
        <v>4</v>
      </c>
      <c r="F82" s="79" t="s">
        <v>5</v>
      </c>
      <c r="G82" s="79" t="s">
        <v>6</v>
      </c>
      <c r="H82" s="79" t="s">
        <v>7</v>
      </c>
      <c r="I82" s="79" t="s">
        <v>8</v>
      </c>
      <c r="J82" s="79" t="s">
        <v>9</v>
      </c>
      <c r="K82" s="79" t="s">
        <v>10</v>
      </c>
      <c r="L82" s="79" t="s">
        <v>11</v>
      </c>
      <c r="M82" s="79" t="s">
        <v>12</v>
      </c>
      <c r="N82" s="79" t="s">
        <v>13</v>
      </c>
    </row>
    <row r="84" customFormat="false" ht="12.75" hidden="false" customHeight="false" outlineLevel="0" collapsed="false">
      <c r="A84" s="1" t="s">
        <v>57</v>
      </c>
      <c r="C84" s="54" t="n">
        <f aca="false">SUM('Ablesewerte Wasser'!D113-'Ablesewerte Wasser'!C113)</f>
        <v>40</v>
      </c>
      <c r="D84" s="54" t="n">
        <f aca="false">SUM('Ablesewerte Wasser'!E113-'Ablesewerte Wasser'!D113)</f>
        <v>66</v>
      </c>
      <c r="E84" s="54" t="n">
        <f aca="false">SUM('Ablesewerte Wasser'!F113-'Ablesewerte Wasser'!E113)</f>
        <v>117</v>
      </c>
      <c r="F84" s="54" t="n">
        <f aca="false">SUM('Ablesewerte Wasser'!G113-'Ablesewerte Wasser'!F113)</f>
        <v>93</v>
      </c>
      <c r="G84" s="54" t="n">
        <f aca="false">SUM('Ablesewerte Wasser'!H113-'Ablesewerte Wasser'!G113)</f>
        <v>107</v>
      </c>
      <c r="H84" s="54" t="n">
        <f aca="false">SUM('Ablesewerte Wasser'!I113-'Ablesewerte Wasser'!H113)</f>
        <v>188</v>
      </c>
      <c r="I84" s="54" t="n">
        <f aca="false">SUM('Ablesewerte Wasser'!J113-'Ablesewerte Wasser'!I113)</f>
        <v>160</v>
      </c>
      <c r="J84" s="54" t="n">
        <f aca="false">SUM('Ablesewerte Wasser'!K113-'Ablesewerte Wasser'!J113)</f>
        <v>11</v>
      </c>
      <c r="K84" s="54" t="n">
        <f aca="false">SUM('Ablesewerte Wasser'!L113-'Ablesewerte Wasser'!K113)</f>
        <v>166</v>
      </c>
      <c r="L84" s="54" t="n">
        <f aca="false">SUM('Ablesewerte Wasser'!M113-'Ablesewerte Wasser'!L113)</f>
        <v>205</v>
      </c>
      <c r="M84" s="54" t="n">
        <f aca="false">SUM('Ablesewerte Wasser'!N113-'Ablesewerte Wasser'!M113)</f>
        <v>376</v>
      </c>
      <c r="N84" s="54" t="n">
        <f aca="false">SUM('Ablesewerte Wasser'!O113-'Ablesewerte Wasser'!N113)</f>
        <v>164</v>
      </c>
      <c r="P84" s="1" t="n">
        <f aca="false">SUM(C84:O84)</f>
        <v>1693</v>
      </c>
    </row>
    <row r="85" customFormat="false" ht="12.75" hidden="false" customHeight="false" outlineLevel="0" collapsed="false">
      <c r="A85" s="1" t="s">
        <v>58</v>
      </c>
      <c r="C85" s="54" t="n">
        <f aca="false">SUM('Ablesewerte Wasser'!D114-'Ablesewerte Wasser'!C114)</f>
        <v>5</v>
      </c>
      <c r="D85" s="54" t="n">
        <f aca="false">SUM('Ablesewerte Wasser'!E114-'Ablesewerte Wasser'!D114)</f>
        <v>6</v>
      </c>
      <c r="E85" s="54" t="n">
        <f aca="false">SUM('Ablesewerte Wasser'!F114-'Ablesewerte Wasser'!E114)</f>
        <v>10</v>
      </c>
      <c r="F85" s="54" t="n">
        <f aca="false">SUM('Ablesewerte Wasser'!G114-'Ablesewerte Wasser'!F114)</f>
        <v>5</v>
      </c>
      <c r="G85" s="54" t="n">
        <f aca="false">SUM('Ablesewerte Wasser'!H114-'Ablesewerte Wasser'!G114)</f>
        <v>8</v>
      </c>
      <c r="H85" s="54" t="n">
        <f aca="false">SUM('Ablesewerte Wasser'!I114-'Ablesewerte Wasser'!H114)</f>
        <v>12</v>
      </c>
      <c r="I85" s="54" t="n">
        <f aca="false">SUM('Ablesewerte Wasser'!J114-'Ablesewerte Wasser'!I114)</f>
        <v>11</v>
      </c>
      <c r="J85" s="54" t="n">
        <f aca="false">SUM('Ablesewerte Wasser'!K114-'Ablesewerte Wasser'!J114)</f>
        <v>7</v>
      </c>
      <c r="K85" s="54" t="n">
        <f aca="false">SUM('Ablesewerte Wasser'!L114-'Ablesewerte Wasser'!K114)</f>
        <v>12</v>
      </c>
      <c r="L85" s="54" t="n">
        <f aca="false">SUM('Ablesewerte Wasser'!M114-'Ablesewerte Wasser'!L114)</f>
        <v>17</v>
      </c>
      <c r="M85" s="54" t="n">
        <f aca="false">SUM('Ablesewerte Wasser'!N114-'Ablesewerte Wasser'!M114)</f>
        <v>20</v>
      </c>
      <c r="N85" s="54" t="n">
        <f aca="false">SUM('Ablesewerte Wasser'!O114-'Ablesewerte Wasser'!N114)</f>
        <v>10</v>
      </c>
      <c r="P85" s="1" t="n">
        <f aca="false">SUM(C85:O85)</f>
        <v>123</v>
      </c>
    </row>
    <row r="86" customFormat="false" ht="12.75" hidden="false" customHeight="false" outlineLevel="0" collapsed="false">
      <c r="A86" s="1" t="s">
        <v>19</v>
      </c>
      <c r="C86" s="54" t="n">
        <f aca="false">SUM('Ablesewerte Wasser'!D115-'Ablesewerte Wasser'!C115)</f>
        <v>0</v>
      </c>
      <c r="D86" s="54" t="n">
        <f aca="false">SUM('Ablesewerte Wasser'!E115-'Ablesewerte Wasser'!D115)</f>
        <v>1</v>
      </c>
      <c r="E86" s="54" t="n">
        <f aca="false">SUM('Ablesewerte Wasser'!F115-'Ablesewerte Wasser'!E115)</f>
        <v>3</v>
      </c>
      <c r="F86" s="54" t="n">
        <f aca="false">SUM('Ablesewerte Wasser'!G115-'Ablesewerte Wasser'!F115)</f>
        <v>3</v>
      </c>
      <c r="G86" s="54" t="n">
        <f aca="false">SUM('Ablesewerte Wasser'!H115-'Ablesewerte Wasser'!G115)</f>
        <v>2</v>
      </c>
      <c r="H86" s="54" t="n">
        <f aca="false">SUM('Ablesewerte Wasser'!I115-'Ablesewerte Wasser'!H115)</f>
        <v>4</v>
      </c>
      <c r="I86" s="54" t="n">
        <f aca="false">SUM('Ablesewerte Wasser'!J115-'Ablesewerte Wasser'!I115)</f>
        <v>4</v>
      </c>
      <c r="J86" s="54" t="n">
        <f aca="false">SUM('Ablesewerte Wasser'!K115-'Ablesewerte Wasser'!J115)</f>
        <v>0</v>
      </c>
      <c r="K86" s="54" t="n">
        <f aca="false">SUM('Ablesewerte Wasser'!L115-'Ablesewerte Wasser'!K115)</f>
        <v>2</v>
      </c>
      <c r="L86" s="54" t="n">
        <f aca="false">SUM('Ablesewerte Wasser'!M115-'Ablesewerte Wasser'!L115)</f>
        <v>4</v>
      </c>
      <c r="M86" s="54" t="n">
        <f aca="false">SUM('Ablesewerte Wasser'!N115-'Ablesewerte Wasser'!M115)</f>
        <v>3</v>
      </c>
      <c r="N86" s="54" t="n">
        <f aca="false">SUM('Ablesewerte Wasser'!O115-'Ablesewerte Wasser'!N115)</f>
        <v>3</v>
      </c>
      <c r="P86" s="1" t="n">
        <f aca="false">SUM(C86:O86)</f>
        <v>29</v>
      </c>
    </row>
    <row r="87" customFormat="false" ht="12.75" hidden="false" customHeight="false" outlineLevel="0" collapsed="false">
      <c r="A87" s="1" t="s">
        <v>18</v>
      </c>
      <c r="C87" s="54" t="n">
        <f aca="false">SUM('Ablesewerte Wasser'!D116-'Ablesewerte Wasser'!C116)</f>
        <v>0</v>
      </c>
      <c r="D87" s="54" t="n">
        <f aca="false">SUM('Ablesewerte Wasser'!E116-'Ablesewerte Wasser'!D116)</f>
        <v>29</v>
      </c>
      <c r="E87" s="54" t="n">
        <f aca="false">SUM('Ablesewerte Wasser'!F116-'Ablesewerte Wasser'!E116)</f>
        <v>8</v>
      </c>
      <c r="F87" s="54" t="n">
        <f aca="false">SUM('Ablesewerte Wasser'!G116-'Ablesewerte Wasser'!F116)</f>
        <v>23</v>
      </c>
      <c r="G87" s="54" t="n">
        <f aca="false">SUM('Ablesewerte Wasser'!H116-'Ablesewerte Wasser'!G116)</f>
        <v>0</v>
      </c>
      <c r="H87" s="54" t="n">
        <f aca="false">SUM('Ablesewerte Wasser'!I116-'Ablesewerte Wasser'!H116)</f>
        <v>0</v>
      </c>
      <c r="I87" s="54" t="n">
        <f aca="false">SUM('Ablesewerte Wasser'!J116-'Ablesewerte Wasser'!I116)</f>
        <v>0</v>
      </c>
      <c r="J87" s="54" t="n">
        <f aca="false">SUM('Ablesewerte Wasser'!K116-'Ablesewerte Wasser'!J116)</f>
        <v>0</v>
      </c>
      <c r="K87" s="54" t="n">
        <f aca="false">SUM('Ablesewerte Wasser'!L116-'Ablesewerte Wasser'!K116)</f>
        <v>0</v>
      </c>
      <c r="L87" s="54" t="n">
        <f aca="false">SUM('Ablesewerte Wasser'!M116-'Ablesewerte Wasser'!L116)</f>
        <v>0</v>
      </c>
      <c r="M87" s="54" t="n">
        <f aca="false">SUM('Ablesewerte Wasser'!N116-'Ablesewerte Wasser'!M116)</f>
        <v>0</v>
      </c>
      <c r="N87" s="54" t="n">
        <f aca="false">SUM('Ablesewerte Wasser'!O116-'Ablesewerte Wasser'!N116)</f>
        <v>209</v>
      </c>
      <c r="P87" s="54" t="n">
        <f aca="false">SUM(C87:N87)</f>
        <v>269</v>
      </c>
    </row>
    <row r="91" customFormat="false" ht="15" hidden="false" customHeight="false" outlineLevel="0" collapsed="false">
      <c r="A91" s="2" t="n">
        <v>2022</v>
      </c>
      <c r="B91" s="1" t="s">
        <v>1</v>
      </c>
      <c r="C91" s="79" t="s">
        <v>2</v>
      </c>
      <c r="D91" s="79" t="s">
        <v>3</v>
      </c>
      <c r="E91" s="79" t="s">
        <v>4</v>
      </c>
      <c r="F91" s="79" t="s">
        <v>5</v>
      </c>
      <c r="G91" s="79" t="s">
        <v>6</v>
      </c>
      <c r="H91" s="79" t="s">
        <v>7</v>
      </c>
      <c r="I91" s="79" t="s">
        <v>8</v>
      </c>
      <c r="J91" s="79" t="s">
        <v>9</v>
      </c>
      <c r="K91" s="79" t="s">
        <v>10</v>
      </c>
      <c r="L91" s="79" t="s">
        <v>11</v>
      </c>
      <c r="M91" s="79" t="s">
        <v>12</v>
      </c>
      <c r="N91" s="79" t="s">
        <v>13</v>
      </c>
    </row>
    <row r="93" customFormat="false" ht="12.75" hidden="false" customHeight="false" outlineLevel="0" collapsed="false">
      <c r="A93" s="1" t="s">
        <v>57</v>
      </c>
      <c r="C93" s="54" t="n">
        <f aca="false">SUM('Ablesewerte Wasser'!D124-'Ablesewerte Wasser'!C124)</f>
        <v>157</v>
      </c>
      <c r="D93" s="54" t="n">
        <f aca="false">SUM('Ablesewerte Wasser'!E124-'Ablesewerte Wasser'!D124)</f>
        <v>203</v>
      </c>
      <c r="E93" s="54" t="n">
        <f aca="false">SUM('Ablesewerte Wasser'!F124-'Ablesewerte Wasser'!E124)</f>
        <v>225</v>
      </c>
      <c r="F93" s="54" t="n">
        <f aca="false">SUM('Ablesewerte Wasser'!G124-'Ablesewerte Wasser'!F124)</f>
        <v>131</v>
      </c>
      <c r="G93" s="54" t="n">
        <f aca="false">SUM('Ablesewerte Wasser'!H124-'Ablesewerte Wasser'!G124)</f>
        <v>233</v>
      </c>
      <c r="H93" s="54" t="n">
        <f aca="false">SUM('Ablesewerte Wasser'!I124-'Ablesewerte Wasser'!H124)</f>
        <v>132</v>
      </c>
      <c r="I93" s="54" t="n">
        <f aca="false">SUM('Ablesewerte Wasser'!J124-'Ablesewerte Wasser'!I124)</f>
        <v>166</v>
      </c>
      <c r="J93" s="54" t="n">
        <f aca="false">SUM('Ablesewerte Wasser'!K124-'Ablesewerte Wasser'!J124)</f>
        <v>141</v>
      </c>
      <c r="K93" s="54" t="n">
        <f aca="false">SUM('Ablesewerte Wasser'!L124-'Ablesewerte Wasser'!K124)</f>
        <v>184</v>
      </c>
      <c r="L93" s="54" t="n">
        <f aca="false">SUM('Ablesewerte Wasser'!M124-'Ablesewerte Wasser'!L124)</f>
        <v>181</v>
      </c>
      <c r="M93" s="54" t="n">
        <f aca="false">SUM('Ablesewerte Wasser'!N124-'Ablesewerte Wasser'!M124)</f>
        <v>195</v>
      </c>
      <c r="N93" s="54" t="n">
        <f aca="false">SUM('Ablesewerte Wasser'!O124-'Ablesewerte Wasser'!N124)</f>
        <v>150</v>
      </c>
      <c r="P93" s="1" t="n">
        <f aca="false">SUM(C93:O93)</f>
        <v>2098</v>
      </c>
    </row>
    <row r="94" customFormat="false" ht="12.75" hidden="false" customHeight="false" outlineLevel="0" collapsed="false">
      <c r="A94" s="1" t="s">
        <v>58</v>
      </c>
      <c r="C94" s="54" t="n">
        <f aca="false">SUM('Ablesewerte Wasser'!D125-'Ablesewerte Wasser'!C125)</f>
        <v>13</v>
      </c>
      <c r="D94" s="54" t="n">
        <f aca="false">SUM('Ablesewerte Wasser'!E125-'Ablesewerte Wasser'!D125)</f>
        <v>17</v>
      </c>
      <c r="E94" s="54" t="n">
        <f aca="false">SUM('Ablesewerte Wasser'!F125-'Ablesewerte Wasser'!E125)</f>
        <v>22</v>
      </c>
      <c r="F94" s="54" t="n">
        <f aca="false">SUM('Ablesewerte Wasser'!G125-'Ablesewerte Wasser'!F125)</f>
        <v>12</v>
      </c>
      <c r="G94" s="54" t="n">
        <f aca="false">SUM('Ablesewerte Wasser'!H125-'Ablesewerte Wasser'!G125)</f>
        <v>36</v>
      </c>
      <c r="H94" s="54" t="n">
        <f aca="false">SUM('Ablesewerte Wasser'!I125-'Ablesewerte Wasser'!H125)</f>
        <v>12</v>
      </c>
      <c r="I94" s="54" t="n">
        <f aca="false">SUM('Ablesewerte Wasser'!J125-'Ablesewerte Wasser'!I125)</f>
        <v>10</v>
      </c>
      <c r="J94" s="54" t="n">
        <f aca="false">SUM('Ablesewerte Wasser'!K125-'Ablesewerte Wasser'!J125)</f>
        <v>6</v>
      </c>
      <c r="K94" s="54" t="n">
        <f aca="false">SUM('Ablesewerte Wasser'!L125-'Ablesewerte Wasser'!K125)</f>
        <v>15</v>
      </c>
      <c r="L94" s="54" t="n">
        <f aca="false">SUM('Ablesewerte Wasser'!M125-'Ablesewerte Wasser'!L125)</f>
        <v>14</v>
      </c>
      <c r="M94" s="54" t="n">
        <f aca="false">SUM('Ablesewerte Wasser'!N125-'Ablesewerte Wasser'!M125)</f>
        <v>12</v>
      </c>
      <c r="N94" s="54" t="n">
        <f aca="false">SUM('Ablesewerte Wasser'!O125-'Ablesewerte Wasser'!N125)</f>
        <v>7</v>
      </c>
      <c r="P94" s="1" t="n">
        <f aca="false">SUM(C94:O94)</f>
        <v>176</v>
      </c>
    </row>
    <row r="95" customFormat="false" ht="12.75" hidden="false" customHeight="false" outlineLevel="0" collapsed="false">
      <c r="A95" s="1" t="s">
        <v>19</v>
      </c>
      <c r="C95" s="54" t="n">
        <f aca="false">SUM('Ablesewerte Wasser'!D126-'Ablesewerte Wasser'!C126)</f>
        <v>16</v>
      </c>
      <c r="D95" s="54" t="n">
        <f aca="false">SUM('Ablesewerte Wasser'!E126-'Ablesewerte Wasser'!D126)</f>
        <v>6</v>
      </c>
      <c r="E95" s="54" t="n">
        <f aca="false">SUM('Ablesewerte Wasser'!F126-'Ablesewerte Wasser'!E126)</f>
        <v>3</v>
      </c>
      <c r="F95" s="54" t="n">
        <f aca="false">SUM('Ablesewerte Wasser'!G126-'Ablesewerte Wasser'!F126)</f>
        <v>3</v>
      </c>
      <c r="G95" s="54" t="n">
        <f aca="false">SUM('Ablesewerte Wasser'!H126-'Ablesewerte Wasser'!G126)</f>
        <v>5</v>
      </c>
      <c r="H95" s="54" t="n">
        <f aca="false">SUM('Ablesewerte Wasser'!I126-'Ablesewerte Wasser'!H126)</f>
        <v>3</v>
      </c>
      <c r="I95" s="54" t="n">
        <f aca="false">SUM('Ablesewerte Wasser'!J126-'Ablesewerte Wasser'!I126)</f>
        <v>4</v>
      </c>
      <c r="J95" s="54" t="n">
        <f aca="false">SUM('Ablesewerte Wasser'!K126-'Ablesewerte Wasser'!J126)</f>
        <v>1</v>
      </c>
      <c r="K95" s="54" t="n">
        <f aca="false">SUM('Ablesewerte Wasser'!L126-'Ablesewerte Wasser'!K126)</f>
        <v>3</v>
      </c>
      <c r="L95" s="54" t="n">
        <f aca="false">SUM('Ablesewerte Wasser'!M126-'Ablesewerte Wasser'!L126)</f>
        <v>4</v>
      </c>
      <c r="M95" s="54" t="n">
        <f aca="false">SUM('Ablesewerte Wasser'!N126-'Ablesewerte Wasser'!M126)</f>
        <v>6</v>
      </c>
      <c r="N95" s="54" t="n">
        <f aca="false">SUM('Ablesewerte Wasser'!O126-'Ablesewerte Wasser'!N126)</f>
        <v>3</v>
      </c>
      <c r="P95" s="1" t="n">
        <f aca="false">SUM(C95:O95)</f>
        <v>57</v>
      </c>
    </row>
    <row r="96" customFormat="false" ht="12.75" hidden="false" customHeight="false" outlineLevel="0" collapsed="false">
      <c r="A96" s="1" t="s">
        <v>18</v>
      </c>
      <c r="C96" s="54" t="n">
        <f aca="false">SUM('Ablesewerte Wasser'!D127-'Ablesewerte Wasser'!C127)</f>
        <v>0</v>
      </c>
      <c r="D96" s="54" t="n">
        <f aca="false">SUM('Ablesewerte Wasser'!E127-'Ablesewerte Wasser'!D127)</f>
        <v>0</v>
      </c>
      <c r="E96" s="54" t="n">
        <f aca="false">SUM('Ablesewerte Wasser'!F127-'Ablesewerte Wasser'!E127)</f>
        <v>0</v>
      </c>
      <c r="F96" s="54" t="n">
        <f aca="false">SUM('Ablesewerte Wasser'!G127-'Ablesewerte Wasser'!F127)</f>
        <v>347</v>
      </c>
      <c r="G96" s="54" t="n">
        <f aca="false">SUM('Ablesewerte Wasser'!H127-'Ablesewerte Wasser'!G127)</f>
        <v>24</v>
      </c>
      <c r="H96" s="54" t="n">
        <f aca="false">SUM('Ablesewerte Wasser'!I127-'Ablesewerte Wasser'!H127)</f>
        <v>27</v>
      </c>
      <c r="I96" s="54" t="n">
        <f aca="false">SUM('Ablesewerte Wasser'!J127-'Ablesewerte Wasser'!I127)</f>
        <v>17</v>
      </c>
      <c r="J96" s="54" t="n">
        <f aca="false">SUM('Ablesewerte Wasser'!K127-'Ablesewerte Wasser'!J127)</f>
        <v>19</v>
      </c>
      <c r="K96" s="54" t="n">
        <f aca="false">SUM('Ablesewerte Wasser'!L127-'Ablesewerte Wasser'!K127)</f>
        <v>16</v>
      </c>
      <c r="L96" s="54" t="n">
        <f aca="false">SUM('Ablesewerte Wasser'!M127-'Ablesewerte Wasser'!L127)</f>
        <v>12</v>
      </c>
      <c r="M96" s="54" t="n">
        <f aca="false">SUM('Ablesewerte Wasser'!N127-'Ablesewerte Wasser'!M127)</f>
        <v>13</v>
      </c>
      <c r="N96" s="54" t="n">
        <f aca="false">SUM('Ablesewerte Wasser'!O127-'Ablesewerte Wasser'!N127)</f>
        <v>8</v>
      </c>
      <c r="P96" s="54" t="n">
        <f aca="false">SUM(C96:N96)</f>
        <v>483</v>
      </c>
    </row>
    <row r="100" customFormat="false" ht="15" hidden="false" customHeight="false" outlineLevel="0" collapsed="false">
      <c r="A100" s="2" t="n">
        <v>2023</v>
      </c>
      <c r="B100" s="1" t="s">
        <v>1</v>
      </c>
      <c r="C100" s="79" t="s">
        <v>2</v>
      </c>
      <c r="D100" s="79" t="s">
        <v>3</v>
      </c>
      <c r="E100" s="79" t="s">
        <v>4</v>
      </c>
      <c r="F100" s="79" t="s">
        <v>5</v>
      </c>
      <c r="G100" s="79" t="s">
        <v>6</v>
      </c>
      <c r="H100" s="79" t="s">
        <v>7</v>
      </c>
      <c r="I100" s="79" t="s">
        <v>8</v>
      </c>
      <c r="J100" s="79" t="s">
        <v>9</v>
      </c>
      <c r="K100" s="79" t="s">
        <v>10</v>
      </c>
      <c r="L100" s="79" t="s">
        <v>11</v>
      </c>
      <c r="M100" s="79" t="s">
        <v>12</v>
      </c>
      <c r="N100" s="79" t="s">
        <v>13</v>
      </c>
    </row>
    <row r="102" customFormat="false" ht="12.75" hidden="false" customHeight="false" outlineLevel="0" collapsed="false">
      <c r="A102" s="1" t="s">
        <v>57</v>
      </c>
      <c r="C102" s="54" t="n">
        <f aca="false">SUM('Ablesewerte Wasser'!D134-'Ablesewerte Wasser'!C134)</f>
        <v>220</v>
      </c>
      <c r="D102" s="54" t="n">
        <f aca="false">SUM('Ablesewerte Wasser'!E134-'Ablesewerte Wasser'!D134)</f>
        <v>191</v>
      </c>
      <c r="E102" s="54" t="n">
        <f aca="false">SUM('Ablesewerte Wasser'!F134-'Ablesewerte Wasser'!E134)</f>
        <v>241</v>
      </c>
      <c r="F102" s="54" t="n">
        <f aca="false">SUM('Ablesewerte Wasser'!G134-'Ablesewerte Wasser'!F134)</f>
        <v>147</v>
      </c>
      <c r="G102" s="54" t="n">
        <f aca="false">SUM('Ablesewerte Wasser'!H134-'Ablesewerte Wasser'!G134)</f>
        <v>189</v>
      </c>
      <c r="H102" s="54" t="n">
        <f aca="false">SUM('Ablesewerte Wasser'!I134-'Ablesewerte Wasser'!H134)</f>
        <v>168</v>
      </c>
      <c r="I102" s="54" t="n">
        <f aca="false">SUM('Ablesewerte Wasser'!J134-'Ablesewerte Wasser'!I134)</f>
        <v>132</v>
      </c>
      <c r="J102" s="54" t="n">
        <f aca="false">SUM('Ablesewerte Wasser'!K134-'Ablesewerte Wasser'!J134)</f>
        <v>102</v>
      </c>
      <c r="K102" s="54" t="n">
        <f aca="false">SUM('Ablesewerte Wasser'!L134-'Ablesewerte Wasser'!K134)</f>
        <v>172</v>
      </c>
      <c r="L102" s="54" t="n">
        <f aca="false">SUM('Ablesewerte Wasser'!M134-'Ablesewerte Wasser'!L134)</f>
        <v>196</v>
      </c>
      <c r="M102" s="54" t="n">
        <f aca="false">SUM('Ablesewerte Wasser'!N134-'Ablesewerte Wasser'!M134)</f>
        <v>213</v>
      </c>
      <c r="N102" s="54" t="n">
        <f aca="false">SUM('Ablesewerte Wasser'!O134-'Ablesewerte Wasser'!N134)</f>
        <v>146</v>
      </c>
      <c r="P102" s="1" t="n">
        <f aca="false">SUM(C102:O102)</f>
        <v>2117</v>
      </c>
    </row>
    <row r="103" customFormat="false" ht="12.75" hidden="false" customHeight="false" outlineLevel="0" collapsed="false">
      <c r="A103" s="1" t="s">
        <v>58</v>
      </c>
      <c r="C103" s="54" t="n">
        <f aca="false">SUM('Ablesewerte Wasser'!D135-'Ablesewerte Wasser'!C135)</f>
        <v>12</v>
      </c>
      <c r="D103" s="54" t="n">
        <f aca="false">SUM('Ablesewerte Wasser'!E135-'Ablesewerte Wasser'!D135)</f>
        <v>12</v>
      </c>
      <c r="E103" s="54" t="n">
        <f aca="false">SUM('Ablesewerte Wasser'!F135-'Ablesewerte Wasser'!E135)</f>
        <v>26</v>
      </c>
      <c r="F103" s="54" t="n">
        <f aca="false">SUM('Ablesewerte Wasser'!G135-'Ablesewerte Wasser'!F135)</f>
        <v>9</v>
      </c>
      <c r="G103" s="54" t="n">
        <f aca="false">SUM('Ablesewerte Wasser'!H135-'Ablesewerte Wasser'!G135)</f>
        <v>14</v>
      </c>
      <c r="H103" s="54" t="n">
        <f aca="false">SUM('Ablesewerte Wasser'!I135-'Ablesewerte Wasser'!H135)</f>
        <v>16</v>
      </c>
      <c r="I103" s="54" t="n">
        <f aca="false">SUM('Ablesewerte Wasser'!J135-'Ablesewerte Wasser'!I135)</f>
        <v>12</v>
      </c>
      <c r="J103" s="54" t="n">
        <f aca="false">SUM('Ablesewerte Wasser'!K135-'Ablesewerte Wasser'!J135)</f>
        <v>9</v>
      </c>
      <c r="K103" s="54" t="n">
        <f aca="false">SUM('Ablesewerte Wasser'!L135-'Ablesewerte Wasser'!K135)</f>
        <v>16</v>
      </c>
      <c r="L103" s="54" t="n">
        <f aca="false">SUM('Ablesewerte Wasser'!M135-'Ablesewerte Wasser'!L135)</f>
        <v>17</v>
      </c>
      <c r="M103" s="54" t="n">
        <f aca="false">SUM('Ablesewerte Wasser'!N135-'Ablesewerte Wasser'!M135)</f>
        <v>17</v>
      </c>
      <c r="N103" s="54" t="n">
        <f aca="false">SUM('Ablesewerte Wasser'!O135-'Ablesewerte Wasser'!N135)</f>
        <v>13</v>
      </c>
      <c r="P103" s="1" t="n">
        <f aca="false">SUM(C103:O103)</f>
        <v>173</v>
      </c>
    </row>
    <row r="104" customFormat="false" ht="12.75" hidden="false" customHeight="false" outlineLevel="0" collapsed="false">
      <c r="A104" s="1" t="s">
        <v>19</v>
      </c>
      <c r="C104" s="54" t="n">
        <f aca="false">SUM('Ablesewerte Wasser'!D136-'Ablesewerte Wasser'!C136)</f>
        <v>5</v>
      </c>
      <c r="D104" s="54" t="n">
        <f aca="false">SUM('Ablesewerte Wasser'!E136-'Ablesewerte Wasser'!D136)</f>
        <v>4</v>
      </c>
      <c r="E104" s="54" t="n">
        <f aca="false">SUM('Ablesewerte Wasser'!F136-'Ablesewerte Wasser'!E136)</f>
        <v>4</v>
      </c>
      <c r="F104" s="54" t="n">
        <f aca="false">SUM('Ablesewerte Wasser'!G136-'Ablesewerte Wasser'!F136)</f>
        <v>3</v>
      </c>
      <c r="G104" s="54" t="n">
        <f aca="false">SUM('Ablesewerte Wasser'!H136-'Ablesewerte Wasser'!G136)</f>
        <v>4</v>
      </c>
      <c r="H104" s="54" t="n">
        <f aca="false">SUM('Ablesewerte Wasser'!I136-'Ablesewerte Wasser'!H136)</f>
        <v>4</v>
      </c>
      <c r="I104" s="54" t="n">
        <f aca="false">SUM('Ablesewerte Wasser'!J136-'Ablesewerte Wasser'!I136)</f>
        <v>4</v>
      </c>
      <c r="J104" s="54" t="n">
        <f aca="false">SUM('Ablesewerte Wasser'!K136-'Ablesewerte Wasser'!J136)</f>
        <v>5</v>
      </c>
      <c r="K104" s="54" t="n">
        <f aca="false">SUM('Ablesewerte Wasser'!L136-'Ablesewerte Wasser'!K136)</f>
        <v>5</v>
      </c>
      <c r="L104" s="54" t="n">
        <f aca="false">SUM('Ablesewerte Wasser'!M136-'Ablesewerte Wasser'!L136)</f>
        <v>4</v>
      </c>
      <c r="M104" s="54" t="n">
        <f aca="false">SUM('Ablesewerte Wasser'!N136-'Ablesewerte Wasser'!M136)</f>
        <v>4</v>
      </c>
      <c r="N104" s="54" t="n">
        <f aca="false">SUM('Ablesewerte Wasser'!O136-'Ablesewerte Wasser'!N136)</f>
        <v>3</v>
      </c>
      <c r="P104" s="1" t="n">
        <f aca="false">SUM(C104:O104)</f>
        <v>49</v>
      </c>
    </row>
    <row r="105" customFormat="false" ht="12.75" hidden="false" customHeight="false" outlineLevel="0" collapsed="false">
      <c r="A105" s="1" t="s">
        <v>18</v>
      </c>
      <c r="C105" s="54" t="n">
        <f aca="false">SUM('Ablesewerte Wasser'!D137-'Ablesewerte Wasser'!C137)</f>
        <v>16</v>
      </c>
      <c r="D105" s="54" t="n">
        <f aca="false">SUM('Ablesewerte Wasser'!E137-'Ablesewerte Wasser'!D137)</f>
        <v>73</v>
      </c>
      <c r="E105" s="54" t="n">
        <f aca="false">SUM('Ablesewerte Wasser'!F137-'Ablesewerte Wasser'!E137)</f>
        <v>70</v>
      </c>
      <c r="F105" s="54" t="n">
        <f aca="false">SUM('Ablesewerte Wasser'!G137-'Ablesewerte Wasser'!F137)</f>
        <v>66</v>
      </c>
      <c r="G105" s="54" t="n">
        <f aca="false">SUM('Ablesewerte Wasser'!H137-'Ablesewerte Wasser'!G137)</f>
        <v>75</v>
      </c>
      <c r="H105" s="54" t="n">
        <f aca="false">SUM('Ablesewerte Wasser'!I137-'Ablesewerte Wasser'!H137)</f>
        <v>83</v>
      </c>
      <c r="I105" s="54" t="n">
        <f aca="false">SUM('Ablesewerte Wasser'!J137-'Ablesewerte Wasser'!I137)</f>
        <v>67</v>
      </c>
      <c r="J105" s="54" t="n">
        <f aca="false">SUM('Ablesewerte Wasser'!K137-'Ablesewerte Wasser'!J137)</f>
        <v>72</v>
      </c>
      <c r="K105" s="54" t="n">
        <f aca="false">SUM('Ablesewerte Wasser'!L137-'Ablesewerte Wasser'!K137)</f>
        <v>76</v>
      </c>
      <c r="L105" s="54" t="n">
        <f aca="false">SUM('Ablesewerte Wasser'!M137-'Ablesewerte Wasser'!L137)</f>
        <v>80</v>
      </c>
      <c r="M105" s="54" t="n">
        <f aca="false">SUM('Ablesewerte Wasser'!N137-'Ablesewerte Wasser'!M137)</f>
        <v>50</v>
      </c>
      <c r="N105" s="54" t="n">
        <f aca="false">SUM('Ablesewerte Wasser'!O137-'Ablesewerte Wasser'!N137)</f>
        <v>81</v>
      </c>
      <c r="P105" s="54" t="n">
        <f aca="false">SUM(C105:N105)</f>
        <v>809</v>
      </c>
    </row>
    <row r="108" customFormat="false" ht="15" hidden="false" customHeight="false" outlineLevel="0" collapsed="false">
      <c r="A108" s="2" t="n">
        <v>2024</v>
      </c>
      <c r="B108" s="1" t="s">
        <v>1</v>
      </c>
      <c r="C108" s="79" t="s">
        <v>2</v>
      </c>
      <c r="D108" s="79" t="s">
        <v>3</v>
      </c>
      <c r="E108" s="79" t="s">
        <v>4</v>
      </c>
      <c r="F108" s="79" t="s">
        <v>5</v>
      </c>
      <c r="G108" s="79" t="s">
        <v>6</v>
      </c>
      <c r="H108" s="79" t="s">
        <v>7</v>
      </c>
      <c r="I108" s="79" t="s">
        <v>8</v>
      </c>
      <c r="J108" s="79" t="s">
        <v>9</v>
      </c>
      <c r="K108" s="79" t="s">
        <v>10</v>
      </c>
      <c r="L108" s="79" t="s">
        <v>11</v>
      </c>
      <c r="M108" s="79" t="s">
        <v>12</v>
      </c>
      <c r="N108" s="79" t="s">
        <v>13</v>
      </c>
    </row>
    <row r="110" customFormat="false" ht="12.75" hidden="false" customHeight="false" outlineLevel="0" collapsed="false">
      <c r="A110" s="1" t="s">
        <v>57</v>
      </c>
      <c r="C110" s="54" t="n">
        <f aca="false">SUM('Ablesewerte Wasser'!D144-'Ablesewerte Wasser'!C144)</f>
        <v>154</v>
      </c>
      <c r="D110" s="54" t="n">
        <f aca="false">SUM('Ablesewerte Wasser'!E144-'Ablesewerte Wasser'!D144)</f>
        <v>151</v>
      </c>
      <c r="E110" s="54" t="n">
        <f aca="false">SUM('Ablesewerte Wasser'!F144-'Ablesewerte Wasser'!E144)</f>
        <v>168</v>
      </c>
      <c r="F110" s="54" t="n">
        <f aca="false">SUM('Ablesewerte Wasser'!G144-'Ablesewerte Wasser'!F144)</f>
        <v>192</v>
      </c>
      <c r="G110" s="54" t="n">
        <f aca="false">SUM('Ablesewerte Wasser'!H144-'Ablesewerte Wasser'!G144)</f>
        <v>126</v>
      </c>
      <c r="H110" s="54" t="n">
        <f aca="false">SUM('Ablesewerte Wasser'!I144-'Ablesewerte Wasser'!H144)</f>
        <v>232</v>
      </c>
      <c r="I110" s="54" t="n">
        <f aca="false">SUM('Ablesewerte Wasser'!J144-'Ablesewerte Wasser'!I144)</f>
        <v>192.1</v>
      </c>
      <c r="J110" s="54" t="n">
        <f aca="false">SUM('Ablesewerte Wasser'!K144-'Ablesewerte Wasser'!J144)</f>
        <v>161.4</v>
      </c>
      <c r="K110" s="54" t="n">
        <f aca="false">SUM('Ablesewerte Wasser'!L144-'Ablesewerte Wasser'!K144)</f>
        <v>185.3</v>
      </c>
      <c r="L110" s="54" t="n">
        <f aca="false">SUM('Ablesewerte Wasser'!M144-'Ablesewerte Wasser'!L144)</f>
        <v>225.36</v>
      </c>
      <c r="M110" s="54" t="n">
        <f aca="false">SUM('Ablesewerte Wasser'!N144-'Ablesewerte Wasser'!M144)</f>
        <v>235.84</v>
      </c>
      <c r="N110" s="54" t="n">
        <f aca="false">SUM('Ablesewerte Wasser'!O144-'Ablesewerte Wasser'!N144)</f>
        <v>147</v>
      </c>
      <c r="P110" s="1" t="n">
        <f aca="false">SUM(C110:O110)</f>
        <v>2170</v>
      </c>
    </row>
    <row r="111" customFormat="false" ht="12.75" hidden="false" customHeight="false" outlineLevel="0" collapsed="false">
      <c r="A111" s="1" t="s">
        <v>58</v>
      </c>
      <c r="C111" s="54" t="n">
        <f aca="false">SUM('Ablesewerte Wasser'!D145-'Ablesewerte Wasser'!C145)</f>
        <v>13</v>
      </c>
      <c r="D111" s="54" t="n">
        <f aca="false">SUM('Ablesewerte Wasser'!E145-'Ablesewerte Wasser'!D145)</f>
        <v>22</v>
      </c>
      <c r="E111" s="54" t="n">
        <f aca="false">SUM('Ablesewerte Wasser'!F145-'Ablesewerte Wasser'!E145)</f>
        <v>24</v>
      </c>
      <c r="F111" s="54" t="n">
        <f aca="false">SUM('Ablesewerte Wasser'!G145-'Ablesewerte Wasser'!F145)</f>
        <v>36</v>
      </c>
      <c r="G111" s="54" t="n">
        <f aca="false">SUM('Ablesewerte Wasser'!H145-'Ablesewerte Wasser'!G145)</f>
        <v>30</v>
      </c>
      <c r="H111" s="54" t="n">
        <f aca="false">SUM('Ablesewerte Wasser'!I145-'Ablesewerte Wasser'!H145)</f>
        <v>45</v>
      </c>
      <c r="I111" s="54" t="n">
        <f aca="false">SUM('Ablesewerte Wasser'!J145-'Ablesewerte Wasser'!I145)</f>
        <v>49.1000000000004</v>
      </c>
      <c r="J111" s="54" t="n">
        <f aca="false">SUM('Ablesewerte Wasser'!K145-'Ablesewerte Wasser'!J145)</f>
        <v>52.8999999999996</v>
      </c>
      <c r="K111" s="54" t="n">
        <f aca="false">SUM('Ablesewerte Wasser'!L145-'Ablesewerte Wasser'!K145)</f>
        <v>25.8000000000002</v>
      </c>
      <c r="L111" s="54" t="n">
        <f aca="false">SUM('Ablesewerte Wasser'!M145-'Ablesewerte Wasser'!L145)</f>
        <v>69.5299999999998</v>
      </c>
      <c r="M111" s="54" t="n">
        <f aca="false">SUM('Ablesewerte Wasser'!N145-'Ablesewerte Wasser'!M145)</f>
        <v>49.6700000000001</v>
      </c>
      <c r="N111" s="54" t="n">
        <f aca="false">SUM('Ablesewerte Wasser'!O145-'Ablesewerte Wasser'!N145)</f>
        <v>32.8599999999997</v>
      </c>
      <c r="P111" s="1" t="n">
        <f aca="false">SUM(C111:O111)</f>
        <v>449.86</v>
      </c>
    </row>
    <row r="112" customFormat="false" ht="12.75" hidden="false" customHeight="false" outlineLevel="0" collapsed="false">
      <c r="A112" s="1" t="s">
        <v>19</v>
      </c>
      <c r="C112" s="54" t="n">
        <f aca="false">SUM('Ablesewerte Wasser'!D146-'Ablesewerte Wasser'!C146)</f>
        <v>4</v>
      </c>
      <c r="D112" s="54" t="n">
        <f aca="false">SUM('Ablesewerte Wasser'!E146-'Ablesewerte Wasser'!D146)</f>
        <v>20</v>
      </c>
      <c r="E112" s="54" t="n">
        <f aca="false">SUM('Ablesewerte Wasser'!F146-'Ablesewerte Wasser'!E146)</f>
        <v>12</v>
      </c>
      <c r="F112" s="54" t="n">
        <f aca="false">SUM('Ablesewerte Wasser'!G146-'Ablesewerte Wasser'!F146)</f>
        <v>4</v>
      </c>
      <c r="G112" s="54" t="n">
        <f aca="false">SUM('Ablesewerte Wasser'!H146-'Ablesewerte Wasser'!G146)</f>
        <v>2</v>
      </c>
      <c r="H112" s="54" t="n">
        <f aca="false">SUM('Ablesewerte Wasser'!I146-'Ablesewerte Wasser'!H146)</f>
        <v>4</v>
      </c>
      <c r="I112" s="54" t="n">
        <f aca="false">SUM('Ablesewerte Wasser'!J146-'Ablesewerte Wasser'!I146)</f>
        <v>4.2</v>
      </c>
      <c r="J112" s="54" t="n">
        <f aca="false">SUM('Ablesewerte Wasser'!K146-'Ablesewerte Wasser'!J146)</f>
        <v>3.39999999999999</v>
      </c>
      <c r="K112" s="54" t="n">
        <f aca="false">SUM('Ablesewerte Wasser'!L146-'Ablesewerte Wasser'!K146)</f>
        <v>2.60000000000001</v>
      </c>
      <c r="L112" s="54" t="n">
        <f aca="false">SUM('Ablesewerte Wasser'!M146-'Ablesewerte Wasser'!L146)</f>
        <v>3.69</v>
      </c>
      <c r="M112" s="54" t="n">
        <f aca="false">SUM('Ablesewerte Wasser'!N146-'Ablesewerte Wasser'!M146)</f>
        <v>8.51000000000001</v>
      </c>
      <c r="N112" s="54" t="n">
        <f aca="false">SUM('Ablesewerte Wasser'!O146-'Ablesewerte Wasser'!N146)</f>
        <v>3.09999999999999</v>
      </c>
      <c r="P112" s="1" t="n">
        <f aca="false">SUM(C112:O112)</f>
        <v>71.5</v>
      </c>
    </row>
    <row r="113" customFormat="false" ht="12.75" hidden="false" customHeight="false" outlineLevel="0" collapsed="false">
      <c r="A113" s="1" t="s">
        <v>18</v>
      </c>
      <c r="C113" s="54" t="n">
        <f aca="false">SUM('Ablesewerte Wasser'!D147-'Ablesewerte Wasser'!C147)</f>
        <v>58</v>
      </c>
      <c r="D113" s="54" t="n">
        <f aca="false">SUM('Ablesewerte Wasser'!E147-'Ablesewerte Wasser'!D147)</f>
        <v>57</v>
      </c>
      <c r="E113" s="54" t="n">
        <f aca="false">SUM('Ablesewerte Wasser'!F147-'Ablesewerte Wasser'!E147)</f>
        <v>57</v>
      </c>
      <c r="F113" s="54" t="n">
        <f aca="false">SUM('Ablesewerte Wasser'!G147-'Ablesewerte Wasser'!F147)</f>
        <v>50</v>
      </c>
      <c r="G113" s="54" t="n">
        <f aca="false">SUM('Ablesewerte Wasser'!H147-'Ablesewerte Wasser'!G147)</f>
        <v>54</v>
      </c>
      <c r="H113" s="54" t="n">
        <f aca="false">SUM('Ablesewerte Wasser'!I147-'Ablesewerte Wasser'!H147)</f>
        <v>63</v>
      </c>
      <c r="I113" s="54" t="n">
        <f aca="false">SUM('Ablesewerte Wasser'!J147-'Ablesewerte Wasser'!I147)</f>
        <v>69.3</v>
      </c>
      <c r="J113" s="54" t="n">
        <f aca="false">SUM('Ablesewerte Wasser'!K147-'Ablesewerte Wasser'!J147)</f>
        <v>48.2</v>
      </c>
      <c r="K113" s="54" t="n">
        <f aca="false">SUM('Ablesewerte Wasser'!L147-'Ablesewerte Wasser'!K147)</f>
        <v>50</v>
      </c>
      <c r="L113" s="54" t="n">
        <f aca="false">SUM('Ablesewerte Wasser'!M147-'Ablesewerte Wasser'!L147)</f>
        <v>41.8399999999999</v>
      </c>
      <c r="M113" s="54" t="n">
        <f aca="false">SUM('Ablesewerte Wasser'!N147-'Ablesewerte Wasser'!M147)</f>
        <v>19.3700000000001</v>
      </c>
      <c r="N113" s="54" t="n">
        <f aca="false">SUM('Ablesewerte Wasser'!O147-'Ablesewerte Wasser'!N147)</f>
        <v>-0.549999999999955</v>
      </c>
      <c r="P113" s="54" t="n">
        <f aca="false">SUM(C113:N113)</f>
        <v>567.16</v>
      </c>
    </row>
    <row r="116" customFormat="false" ht="15" hidden="false" customHeight="false" outlineLevel="0" collapsed="false">
      <c r="A116" s="2" t="n">
        <v>2025</v>
      </c>
      <c r="B116" s="1" t="s">
        <v>1</v>
      </c>
      <c r="C116" s="79" t="s">
        <v>2</v>
      </c>
      <c r="D116" s="79" t="s">
        <v>3</v>
      </c>
      <c r="E116" s="79" t="s">
        <v>4</v>
      </c>
      <c r="F116" s="79" t="s">
        <v>5</v>
      </c>
      <c r="G116" s="79" t="s">
        <v>6</v>
      </c>
      <c r="H116" s="79" t="s">
        <v>7</v>
      </c>
      <c r="I116" s="79" t="s">
        <v>8</v>
      </c>
      <c r="J116" s="79" t="s">
        <v>9</v>
      </c>
      <c r="K116" s="79" t="s">
        <v>10</v>
      </c>
      <c r="L116" s="79" t="s">
        <v>11</v>
      </c>
      <c r="M116" s="79" t="s">
        <v>12</v>
      </c>
      <c r="N116" s="79" t="s">
        <v>13</v>
      </c>
    </row>
    <row r="118" customFormat="false" ht="12.75" hidden="false" customHeight="false" outlineLevel="0" collapsed="false">
      <c r="A118" s="1" t="s">
        <v>57</v>
      </c>
      <c r="C118" s="54" t="n">
        <f aca="false">SUM('Ablesewerte Wasser'!D154-'Ablesewerte Wasser'!C154)</f>
        <v>216.2</v>
      </c>
      <c r="D118" s="54" t="n">
        <f aca="false">SUM('Ablesewerte Wasser'!E154-'Ablesewerte Wasser'!D154)</f>
        <v>204.6</v>
      </c>
      <c r="E118" s="54" t="n">
        <f aca="false">SUM('Ablesewerte Wasser'!F154-'Ablesewerte Wasser'!E154)</f>
        <v>197.5</v>
      </c>
      <c r="F118" s="54" t="n">
        <f aca="false">SUM('Ablesewerte Wasser'!G154-'Ablesewerte Wasser'!F154)</f>
        <v>152.3</v>
      </c>
      <c r="G118" s="54" t="n">
        <f aca="false">SUM('Ablesewerte Wasser'!H154-'Ablesewerte Wasser'!G154)</f>
        <v>237.799999999999</v>
      </c>
      <c r="H118" s="54" t="n">
        <f aca="false">SUM('Ablesewerte Wasser'!I154-'Ablesewerte Wasser'!H154)</f>
        <v>147.5</v>
      </c>
      <c r="I118" s="54" t="n">
        <f aca="false">SUM('Ablesewerte Wasser'!J154-'Ablesewerte Wasser'!I154)</f>
        <v>209</v>
      </c>
      <c r="J118" s="54" t="n">
        <f aca="false">SUM('Ablesewerte Wasser'!K154-'Ablesewerte Wasser'!J154)</f>
        <v>156.1</v>
      </c>
      <c r="K118" s="54" t="n">
        <f aca="false">SUM('Ablesewerte Wasser'!L154-'Ablesewerte Wasser'!K154)</f>
        <v>153.299999999999</v>
      </c>
      <c r="L118" s="54" t="n">
        <f aca="false">SUM('Ablesewerte Wasser'!M154-'Ablesewerte Wasser'!L154)</f>
        <v>187</v>
      </c>
      <c r="M118" s="54" t="n">
        <f aca="false">SUM('Ablesewerte Wasser'!N154-'Ablesewerte Wasser'!M154)</f>
        <v>205.900000000001</v>
      </c>
      <c r="N118" s="54" t="n">
        <f aca="false">SUM('Ablesewerte Wasser'!O154-'Ablesewerte Wasser'!N154)</f>
        <v>142.4</v>
      </c>
      <c r="P118" s="1" t="n">
        <f aca="false">SUM(C118:O118)</f>
        <v>2209.6</v>
      </c>
    </row>
    <row r="119" customFormat="false" ht="12.75" hidden="false" customHeight="false" outlineLevel="0" collapsed="false">
      <c r="A119" s="1" t="s">
        <v>58</v>
      </c>
      <c r="C119" s="54" t="n">
        <f aca="false">SUM('Ablesewerte Wasser'!D155-'Ablesewerte Wasser'!C155)</f>
        <v>40.3900000000003</v>
      </c>
      <c r="D119" s="54" t="n">
        <f aca="false">SUM('Ablesewerte Wasser'!E155-'Ablesewerte Wasser'!D155)</f>
        <v>55.5500000000002</v>
      </c>
      <c r="E119" s="54" t="n">
        <f aca="false">SUM('Ablesewerte Wasser'!F155-'Ablesewerte Wasser'!E155)</f>
        <v>46.0999999999995</v>
      </c>
      <c r="F119" s="54" t="n">
        <f aca="false">SUM('Ablesewerte Wasser'!G155-'Ablesewerte Wasser'!F155)</f>
        <v>31.9700000000003</v>
      </c>
      <c r="G119" s="54" t="n">
        <f aca="false">SUM('Ablesewerte Wasser'!H155-'Ablesewerte Wasser'!G155)</f>
        <v>41.2300000000005</v>
      </c>
      <c r="H119" s="54" t="n">
        <f aca="false">SUM('Ablesewerte Wasser'!I155-'Ablesewerte Wasser'!H155)</f>
        <v>33.7399999999998</v>
      </c>
      <c r="I119" s="54" t="n">
        <f aca="false">SUM('Ablesewerte Wasser'!J155-'Ablesewerte Wasser'!I155)</f>
        <v>41.46</v>
      </c>
      <c r="J119" s="54" t="n">
        <f aca="false">SUM('Ablesewerte Wasser'!K155-'Ablesewerte Wasser'!J155)</f>
        <v>20.6999999999998</v>
      </c>
      <c r="K119" s="54" t="n">
        <f aca="false">SUM('Ablesewerte Wasser'!L155-'Ablesewerte Wasser'!K155)</f>
        <v>30.3000000000002</v>
      </c>
      <c r="L119" s="54" t="n">
        <f aca="false">SUM('Ablesewerte Wasser'!M155-'Ablesewerte Wasser'!L155)</f>
        <v>32.5999999999995</v>
      </c>
      <c r="M119" s="54" t="n">
        <f aca="false">SUM('Ablesewerte Wasser'!N155-'Ablesewerte Wasser'!M155)</f>
        <v>41.6300000000001</v>
      </c>
      <c r="N119" s="54" t="n">
        <f aca="false">SUM('Ablesewerte Wasser'!O155-'Ablesewerte Wasser'!N155)</f>
        <v>34.1199999999999</v>
      </c>
      <c r="P119" s="1" t="n">
        <f aca="false">SUM(C119:O119)</f>
        <v>449.79</v>
      </c>
    </row>
    <row r="120" customFormat="false" ht="12.75" hidden="false" customHeight="false" outlineLevel="0" collapsed="false">
      <c r="A120" s="1" t="s">
        <v>19</v>
      </c>
      <c r="C120" s="54" t="n">
        <f aca="false">SUM('Ablesewerte Wasser'!D156-'Ablesewerte Wasser'!C156)</f>
        <v>3.5</v>
      </c>
      <c r="D120" s="54" t="n">
        <f aca="false">SUM('Ablesewerte Wasser'!E156-'Ablesewerte Wasser'!D156)</f>
        <v>3.5</v>
      </c>
      <c r="E120" s="54" t="n">
        <f aca="false">SUM('Ablesewerte Wasser'!F156-'Ablesewerte Wasser'!E156)</f>
        <v>3.37</v>
      </c>
      <c r="F120" s="54" t="n">
        <f aca="false">SUM('Ablesewerte Wasser'!G156-'Ablesewerte Wasser'!F156)</f>
        <v>3.53</v>
      </c>
      <c r="G120" s="54" t="n">
        <f aca="false">SUM('Ablesewerte Wasser'!H156-'Ablesewerte Wasser'!G156)</f>
        <v>23.3</v>
      </c>
      <c r="H120" s="54" t="n">
        <f aca="false">SUM('Ablesewerte Wasser'!I156-'Ablesewerte Wasser'!H156)</f>
        <v>2.60000000000002</v>
      </c>
      <c r="I120" s="54" t="n">
        <f aca="false">SUM('Ablesewerte Wasser'!J156-'Ablesewerte Wasser'!I156)</f>
        <v>7.09999999999999</v>
      </c>
      <c r="J120" s="54" t="n">
        <f aca="false">SUM('Ablesewerte Wasser'!K156-'Ablesewerte Wasser'!J156)</f>
        <v>7.59999999999999</v>
      </c>
      <c r="K120" s="54" t="n">
        <f aca="false">SUM('Ablesewerte Wasser'!L156-'Ablesewerte Wasser'!K156)</f>
        <v>3.19999999999999</v>
      </c>
      <c r="L120" s="54" t="n">
        <f aca="false">SUM('Ablesewerte Wasser'!M156-'Ablesewerte Wasser'!L156)</f>
        <v>4.90000000000001</v>
      </c>
      <c r="M120" s="54" t="n">
        <f aca="false">SUM('Ablesewerte Wasser'!N156-'Ablesewerte Wasser'!M156)</f>
        <v>4.70000000000002</v>
      </c>
      <c r="N120" s="54" t="n">
        <f aca="false">SUM('Ablesewerte Wasser'!O156-'Ablesewerte Wasser'!N156)</f>
        <v>2.19999999999999</v>
      </c>
      <c r="P120" s="1" t="n">
        <f aca="false">SUM(C120:O120)</f>
        <v>69.5</v>
      </c>
    </row>
    <row r="121" customFormat="false" ht="12.75" hidden="false" customHeight="false" outlineLevel="0" collapsed="false">
      <c r="A121" s="1" t="s">
        <v>18</v>
      </c>
      <c r="C121" s="54" t="n">
        <f aca="false">SUM('Ablesewerte Wasser'!D157-'Ablesewerte Wasser'!C157)</f>
        <v>41.0899999999999</v>
      </c>
      <c r="D121" s="54" t="n">
        <f aca="false">SUM('Ablesewerte Wasser'!E157-'Ablesewerte Wasser'!D157)</f>
        <v>23.8499999999999</v>
      </c>
      <c r="E121" s="54" t="n">
        <f aca="false">SUM('Ablesewerte Wasser'!F157-'Ablesewerte Wasser'!E157)</f>
        <v>31.2</v>
      </c>
      <c r="F121" s="54" t="n">
        <f aca="false">SUM('Ablesewerte Wasser'!G157-'Ablesewerte Wasser'!F157)</f>
        <v>32</v>
      </c>
      <c r="G121" s="54" t="n">
        <f aca="false">SUM('Ablesewerte Wasser'!H157-'Ablesewerte Wasser'!G157)</f>
        <v>27.8</v>
      </c>
      <c r="H121" s="54" t="n">
        <f aca="false">SUM('Ablesewerte Wasser'!I157-'Ablesewerte Wasser'!H157)</f>
        <v>27.6000000000001</v>
      </c>
      <c r="I121" s="54" t="n">
        <f aca="false">SUM('Ablesewerte Wasser'!J157-'Ablesewerte Wasser'!I157)</f>
        <v>24.9999999999998</v>
      </c>
      <c r="J121" s="54" t="n">
        <f aca="false">SUM('Ablesewerte Wasser'!K157-'Ablesewerte Wasser'!J157)</f>
        <v>11.3000000000002</v>
      </c>
      <c r="K121" s="54" t="n">
        <f aca="false">SUM('Ablesewerte Wasser'!L157-'Ablesewerte Wasser'!K157)</f>
        <v>18</v>
      </c>
      <c r="L121" s="54" t="n">
        <f aca="false">SUM('Ablesewerte Wasser'!M157-'Ablesewerte Wasser'!L157)</f>
        <v>32.3000000000002</v>
      </c>
      <c r="M121" s="54" t="n">
        <f aca="false">SUM('Ablesewerte Wasser'!N157-'Ablesewerte Wasser'!M157)</f>
        <v>23</v>
      </c>
      <c r="N121" s="54" t="n">
        <f aca="false">SUM('Ablesewerte Wasser'!O157-'Ablesewerte Wasser'!N157)</f>
        <v>14.1999999999998</v>
      </c>
      <c r="P121" s="54" t="n">
        <f aca="false">SUM(C121:N121)</f>
        <v>307.34</v>
      </c>
    </row>
    <row r="124" customFormat="false" ht="15" hidden="false" customHeight="false" outlineLevel="0" collapsed="false">
      <c r="A124" s="2" t="n">
        <v>2026</v>
      </c>
      <c r="B124" s="1" t="s">
        <v>1</v>
      </c>
      <c r="C124" s="79" t="s">
        <v>2</v>
      </c>
      <c r="D124" s="79" t="s">
        <v>3</v>
      </c>
      <c r="E124" s="79" t="s">
        <v>4</v>
      </c>
      <c r="F124" s="79" t="s">
        <v>5</v>
      </c>
      <c r="G124" s="79" t="s">
        <v>6</v>
      </c>
      <c r="H124" s="79" t="s">
        <v>7</v>
      </c>
      <c r="I124" s="79" t="s">
        <v>8</v>
      </c>
      <c r="J124" s="79" t="s">
        <v>9</v>
      </c>
      <c r="K124" s="79" t="s">
        <v>10</v>
      </c>
      <c r="L124" s="79" t="s">
        <v>11</v>
      </c>
      <c r="M124" s="79" t="s">
        <v>12</v>
      </c>
      <c r="N124" s="79" t="s">
        <v>13</v>
      </c>
    </row>
    <row r="126" customFormat="false" ht="12.75" hidden="false" customHeight="false" outlineLevel="0" collapsed="false">
      <c r="A126" s="1" t="s">
        <v>57</v>
      </c>
      <c r="C126" s="54" t="n">
        <f aca="false">SUM('Ablesewerte Wasser'!D164-'Ablesewerte Wasser'!C164)</f>
        <v>272</v>
      </c>
      <c r="D126" s="54" t="n">
        <f aca="false">SUM('Ablesewerte Wasser'!E164-'Ablesewerte Wasser'!D164)</f>
        <v>-9656.6</v>
      </c>
      <c r="E126" s="54" t="n">
        <f aca="false">SUM('Ablesewerte Wasser'!F164-'Ablesewerte Wasser'!E164)</f>
        <v>0</v>
      </c>
      <c r="F126" s="54" t="n">
        <f aca="false">SUM('Ablesewerte Wasser'!G164-'Ablesewerte Wasser'!F164)</f>
        <v>0</v>
      </c>
      <c r="G126" s="54" t="n">
        <f aca="false">SUM('Ablesewerte Wasser'!H164-'Ablesewerte Wasser'!G164)</f>
        <v>0</v>
      </c>
      <c r="H126" s="54" t="n">
        <f aca="false">SUM('Ablesewerte Wasser'!I164-'Ablesewerte Wasser'!H164)</f>
        <v>0</v>
      </c>
      <c r="I126" s="54" t="n">
        <f aca="false">SUM('Ablesewerte Wasser'!J164-'Ablesewerte Wasser'!I164)</f>
        <v>0</v>
      </c>
      <c r="J126" s="54" t="n">
        <f aca="false">SUM('Ablesewerte Wasser'!K164-'Ablesewerte Wasser'!J164)</f>
        <v>0</v>
      </c>
      <c r="K126" s="54" t="n">
        <f aca="false">SUM('Ablesewerte Wasser'!L164-'Ablesewerte Wasser'!K164)</f>
        <v>0</v>
      </c>
      <c r="L126" s="54" t="n">
        <f aca="false">SUM('Ablesewerte Wasser'!M164-'Ablesewerte Wasser'!L164)</f>
        <v>0</v>
      </c>
      <c r="M126" s="54" t="n">
        <f aca="false">SUM('Ablesewerte Wasser'!N164-'Ablesewerte Wasser'!M164)</f>
        <v>0</v>
      </c>
      <c r="N126" s="54" t="n">
        <f aca="false">SUM('Ablesewerte Wasser'!O164-'Ablesewerte Wasser'!N164)</f>
        <v>0</v>
      </c>
      <c r="P126" s="1" t="n">
        <f aca="false">SUM(C126:O126)</f>
        <v>-9384.6</v>
      </c>
    </row>
    <row r="127" customFormat="false" ht="12.75" hidden="false" customHeight="false" outlineLevel="0" collapsed="false">
      <c r="A127" s="1" t="s">
        <v>58</v>
      </c>
      <c r="C127" s="54" t="n">
        <f aca="false">SUM('Ablesewerte Wasser'!D165-'Ablesewerte Wasser'!C165)</f>
        <v>53.9500000000007</v>
      </c>
      <c r="D127" s="54" t="n">
        <f aca="false">SUM('Ablesewerte Wasser'!E165-'Ablesewerte Wasser'!D165)</f>
        <v>-5513.6</v>
      </c>
      <c r="E127" s="54" t="n">
        <f aca="false">SUM('Ablesewerte Wasser'!F165-'Ablesewerte Wasser'!E165)</f>
        <v>0</v>
      </c>
      <c r="F127" s="54" t="n">
        <f aca="false">SUM('Ablesewerte Wasser'!G165-'Ablesewerte Wasser'!F165)</f>
        <v>0</v>
      </c>
      <c r="G127" s="54" t="n">
        <f aca="false">SUM('Ablesewerte Wasser'!H165-'Ablesewerte Wasser'!G165)</f>
        <v>0</v>
      </c>
      <c r="H127" s="54" t="n">
        <f aca="false">SUM('Ablesewerte Wasser'!I165-'Ablesewerte Wasser'!H165)</f>
        <v>0</v>
      </c>
      <c r="I127" s="54" t="n">
        <f aca="false">SUM('Ablesewerte Wasser'!J165-'Ablesewerte Wasser'!I165)</f>
        <v>0</v>
      </c>
      <c r="J127" s="54" t="n">
        <f aca="false">SUM('Ablesewerte Wasser'!K165-'Ablesewerte Wasser'!J165)</f>
        <v>0</v>
      </c>
      <c r="K127" s="54" t="n">
        <f aca="false">SUM('Ablesewerte Wasser'!L165-'Ablesewerte Wasser'!K165)</f>
        <v>0</v>
      </c>
      <c r="L127" s="54" t="n">
        <f aca="false">SUM('Ablesewerte Wasser'!M165-'Ablesewerte Wasser'!L165)</f>
        <v>0</v>
      </c>
      <c r="M127" s="54" t="n">
        <f aca="false">SUM('Ablesewerte Wasser'!N165-'Ablesewerte Wasser'!M165)</f>
        <v>0</v>
      </c>
      <c r="N127" s="54" t="n">
        <f aca="false">SUM('Ablesewerte Wasser'!O165-'Ablesewerte Wasser'!N165)</f>
        <v>0</v>
      </c>
      <c r="P127" s="1" t="n">
        <f aca="false">SUM(C127:O127)</f>
        <v>-5459.65</v>
      </c>
    </row>
    <row r="128" customFormat="false" ht="12.75" hidden="false" customHeight="false" outlineLevel="0" collapsed="false">
      <c r="A128" s="1" t="s">
        <v>19</v>
      </c>
      <c r="C128" s="54" t="n">
        <f aca="false">SUM('Ablesewerte Wasser'!D166-'Ablesewerte Wasser'!C166)</f>
        <v>17.9</v>
      </c>
      <c r="D128" s="54" t="n">
        <f aca="false">SUM('Ablesewerte Wasser'!E166-'Ablesewerte Wasser'!D166)</f>
        <v>-179.9</v>
      </c>
      <c r="E128" s="54" t="n">
        <f aca="false">SUM('Ablesewerte Wasser'!F166-'Ablesewerte Wasser'!E166)</f>
        <v>0</v>
      </c>
      <c r="F128" s="54" t="n">
        <f aca="false">SUM('Ablesewerte Wasser'!G166-'Ablesewerte Wasser'!F166)</f>
        <v>0</v>
      </c>
      <c r="G128" s="54" t="n">
        <f aca="false">SUM('Ablesewerte Wasser'!H166-'Ablesewerte Wasser'!G166)</f>
        <v>0</v>
      </c>
      <c r="H128" s="54" t="n">
        <f aca="false">SUM('Ablesewerte Wasser'!I166-'Ablesewerte Wasser'!H166)</f>
        <v>0</v>
      </c>
      <c r="I128" s="54" t="n">
        <f aca="false">SUM('Ablesewerte Wasser'!J166-'Ablesewerte Wasser'!I166)</f>
        <v>0</v>
      </c>
      <c r="J128" s="54" t="n">
        <f aca="false">SUM('Ablesewerte Wasser'!K166-'Ablesewerte Wasser'!J166)</f>
        <v>0</v>
      </c>
      <c r="K128" s="54" t="n">
        <f aca="false">SUM('Ablesewerte Wasser'!L166-'Ablesewerte Wasser'!K166)</f>
        <v>0</v>
      </c>
      <c r="L128" s="54" t="n">
        <f aca="false">SUM('Ablesewerte Wasser'!M166-'Ablesewerte Wasser'!L166)</f>
        <v>0</v>
      </c>
      <c r="M128" s="54" t="n">
        <f aca="false">SUM('Ablesewerte Wasser'!N166-'Ablesewerte Wasser'!M166)</f>
        <v>0</v>
      </c>
      <c r="N128" s="54" t="n">
        <f aca="false">SUM('Ablesewerte Wasser'!O166-'Ablesewerte Wasser'!N166)</f>
        <v>0</v>
      </c>
      <c r="P128" s="1" t="n">
        <f aca="false">SUM(C128:O128)</f>
        <v>-162</v>
      </c>
    </row>
    <row r="129" customFormat="false" ht="12.75" hidden="false" customHeight="false" outlineLevel="0" collapsed="false">
      <c r="A129" s="1" t="s">
        <v>18</v>
      </c>
      <c r="C129" s="54" t="n">
        <f aca="false">SUM('Ablesewerte Wasser'!D167-'Ablesewerte Wasser'!C167)</f>
        <v>46.1999999999998</v>
      </c>
      <c r="D129" s="54" t="n">
        <f aca="false">SUM('Ablesewerte Wasser'!E167-'Ablesewerte Wasser'!D167)</f>
        <v>-2212.7</v>
      </c>
      <c r="E129" s="54" t="n">
        <f aca="false">SUM('Ablesewerte Wasser'!F167-'Ablesewerte Wasser'!E167)</f>
        <v>0</v>
      </c>
      <c r="F129" s="54" t="n">
        <f aca="false">SUM('Ablesewerte Wasser'!G167-'Ablesewerte Wasser'!F167)</f>
        <v>0</v>
      </c>
      <c r="G129" s="54" t="n">
        <f aca="false">SUM('Ablesewerte Wasser'!H167-'Ablesewerte Wasser'!G167)</f>
        <v>0</v>
      </c>
      <c r="H129" s="54" t="n">
        <f aca="false">SUM('Ablesewerte Wasser'!I167-'Ablesewerte Wasser'!H167)</f>
        <v>0</v>
      </c>
      <c r="I129" s="54" t="n">
        <f aca="false">SUM('Ablesewerte Wasser'!J167-'Ablesewerte Wasser'!I167)</f>
        <v>0</v>
      </c>
      <c r="J129" s="54" t="n">
        <f aca="false">SUM('Ablesewerte Wasser'!K167-'Ablesewerte Wasser'!J167)</f>
        <v>0</v>
      </c>
      <c r="K129" s="54" t="n">
        <f aca="false">SUM('Ablesewerte Wasser'!L167-'Ablesewerte Wasser'!K167)</f>
        <v>0</v>
      </c>
      <c r="L129" s="54" t="n">
        <f aca="false">SUM('Ablesewerte Wasser'!M167-'Ablesewerte Wasser'!L167)</f>
        <v>0</v>
      </c>
      <c r="M129" s="54" t="n">
        <f aca="false">SUM('Ablesewerte Wasser'!N167-'Ablesewerte Wasser'!M167)</f>
        <v>0</v>
      </c>
      <c r="N129" s="54" t="n">
        <f aca="false">SUM('Ablesewerte Wasser'!O167-'Ablesewerte Wasser'!N167)</f>
        <v>0</v>
      </c>
      <c r="P129" s="54" t="n">
        <f aca="false">SUM(C129:N129)</f>
        <v>-2166.5</v>
      </c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2007-01-10T08:34:24Z</dcterms:created>
  <dc:creator>Fred-Jürgen Bulach</dc:creator>
  <dc:description/>
  <dc:language>de-DE</dc:language>
  <cp:lastModifiedBy/>
  <cp:lastPrinted>2018-01-15T08:18:02Z</cp:lastPrinted>
  <dcterms:modified xsi:type="dcterms:W3CDTF">2026-03-26T15:02:14Z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