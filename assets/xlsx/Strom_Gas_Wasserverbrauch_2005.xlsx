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5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GolandProjects\IMP_Datenanalyse\assets\xlsx\"/>
    </mc:Choice>
  </mc:AlternateContent>
  <xr:revisionPtr revIDLastSave="0" documentId="8_{D04CFB64-3CBF-4B4B-A8DE-AAB8CBCAB285}" xr6:coauthVersionLast="47" xr6:coauthVersionMax="47" xr10:uidLastSave="{00000000-0000-0000-0000-000000000000}"/>
  <bookViews>
    <workbookView xWindow="3465" yWindow="3465" windowWidth="21600" windowHeight="13185" tabRatio="720" activeTab="8" xr2:uid="{96978ED2-CE53-430C-855E-D7A541258EFD}"/>
  </bookViews>
  <sheets>
    <sheet name="Ablesewerte Gas" sheetId="1" r:id="rId1"/>
    <sheet name="Verbrauch Gas" sheetId="2" r:id="rId2"/>
    <sheet name="Gas Hauptzähler" sheetId="4" r:id="rId3"/>
    <sheet name="Gas Zähler L13" sheetId="11" r:id="rId4"/>
    <sheet name="Ablesewerte Strom" sheetId="3" r:id="rId5"/>
    <sheet name="Verbrauch Strom" sheetId="5" r:id="rId6"/>
    <sheet name="Diagramm Strom" sheetId="6" r:id="rId7"/>
    <sheet name="Strom Sporthalle" sheetId="10" r:id="rId8"/>
    <sheet name="Ablesewerte Wasser" sheetId="7" r:id="rId9"/>
    <sheet name="Verbrauch Wasser" sheetId="8" r:id="rId10"/>
    <sheet name="Diagramm Wasser" sheetId="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2" i="7" l="1"/>
  <c r="Q81" i="7"/>
  <c r="Q80" i="7"/>
  <c r="Q79" i="7"/>
  <c r="O153" i="5"/>
  <c r="N153" i="5"/>
  <c r="K150" i="5"/>
  <c r="M153" i="5"/>
  <c r="L153" i="5"/>
  <c r="K153" i="5"/>
  <c r="J153" i="5"/>
  <c r="I153" i="5"/>
  <c r="H153" i="5"/>
  <c r="G153" i="5"/>
  <c r="F153" i="5"/>
  <c r="E153" i="5"/>
  <c r="D153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O150" i="5"/>
  <c r="N150" i="5"/>
  <c r="M150" i="5"/>
  <c r="L150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Q151" i="5" s="1"/>
  <c r="R163" i="5" s="1"/>
  <c r="D150" i="5"/>
  <c r="E150" i="5"/>
  <c r="F150" i="5"/>
  <c r="G150" i="5"/>
  <c r="H150" i="5"/>
  <c r="I150" i="5"/>
  <c r="J150" i="5"/>
  <c r="N66" i="8"/>
  <c r="M66" i="8"/>
  <c r="L66" i="8"/>
  <c r="K66" i="8"/>
  <c r="J66" i="8"/>
  <c r="I66" i="8"/>
  <c r="H66" i="8"/>
  <c r="G66" i="8"/>
  <c r="F66" i="8"/>
  <c r="P66" i="8" s="1"/>
  <c r="E66" i="8"/>
  <c r="D66" i="8"/>
  <c r="C66" i="8"/>
  <c r="N65" i="8"/>
  <c r="M65" i="8"/>
  <c r="L65" i="8"/>
  <c r="K65" i="8"/>
  <c r="J65" i="8"/>
  <c r="I65" i="8"/>
  <c r="H65" i="8"/>
  <c r="G65" i="8"/>
  <c r="F65" i="8"/>
  <c r="E65" i="8"/>
  <c r="D65" i="8"/>
  <c r="C65" i="8"/>
  <c r="N64" i="8"/>
  <c r="M64" i="8"/>
  <c r="L64" i="8"/>
  <c r="K64" i="8"/>
  <c r="J64" i="8"/>
  <c r="I64" i="8"/>
  <c r="H64" i="8"/>
  <c r="G64" i="8"/>
  <c r="F64" i="8"/>
  <c r="E64" i="8"/>
  <c r="D64" i="8"/>
  <c r="C64" i="8"/>
  <c r="N63" i="8"/>
  <c r="M63" i="8"/>
  <c r="L63" i="8"/>
  <c r="K63" i="8"/>
  <c r="J63" i="8"/>
  <c r="I63" i="8"/>
  <c r="H63" i="8"/>
  <c r="G63" i="8"/>
  <c r="F63" i="8"/>
  <c r="E63" i="8"/>
  <c r="D63" i="8"/>
  <c r="C63" i="8"/>
  <c r="O163" i="5"/>
  <c r="N163" i="5"/>
  <c r="M163" i="5"/>
  <c r="L163" i="5"/>
  <c r="K163" i="5"/>
  <c r="J163" i="5"/>
  <c r="I163" i="5"/>
  <c r="H163" i="5"/>
  <c r="G163" i="5"/>
  <c r="F163" i="5"/>
  <c r="E163" i="5"/>
  <c r="D163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P160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P157" i="5" s="1"/>
  <c r="Q67" i="7"/>
  <c r="Q162" i="5"/>
  <c r="Q155" i="5"/>
  <c r="Q153" i="5"/>
  <c r="Q70" i="7"/>
  <c r="Q69" i="7"/>
  <c r="Q68" i="7"/>
  <c r="Q147" i="3"/>
  <c r="Q145" i="3"/>
  <c r="Q144" i="3"/>
  <c r="Q143" i="3"/>
  <c r="Q142" i="3"/>
  <c r="Q141" i="3"/>
  <c r="Q139" i="3"/>
  <c r="Q138" i="3"/>
  <c r="Q137" i="3"/>
  <c r="Q136" i="3"/>
  <c r="N64" i="2"/>
  <c r="M64" i="2"/>
  <c r="L64" i="2"/>
  <c r="K64" i="2"/>
  <c r="J64" i="2"/>
  <c r="I64" i="2"/>
  <c r="H64" i="2"/>
  <c r="G64" i="2"/>
  <c r="F64" i="2"/>
  <c r="E64" i="2"/>
  <c r="D64" i="2"/>
  <c r="C64" i="2"/>
  <c r="P64" i="2" s="1"/>
  <c r="A64" i="2"/>
  <c r="N63" i="2"/>
  <c r="M63" i="2"/>
  <c r="L63" i="2"/>
  <c r="K63" i="2"/>
  <c r="J63" i="2"/>
  <c r="I63" i="2"/>
  <c r="H63" i="2"/>
  <c r="G63" i="2"/>
  <c r="F63" i="2"/>
  <c r="E63" i="2"/>
  <c r="D63" i="2"/>
  <c r="C63" i="2"/>
  <c r="P63" i="2" s="1"/>
  <c r="A63" i="2"/>
  <c r="N62" i="2"/>
  <c r="M62" i="2"/>
  <c r="L62" i="2"/>
  <c r="K62" i="2"/>
  <c r="J62" i="2"/>
  <c r="I62" i="2"/>
  <c r="H62" i="2"/>
  <c r="G62" i="2"/>
  <c r="F62" i="2"/>
  <c r="E62" i="2"/>
  <c r="D62" i="2"/>
  <c r="C62" i="2"/>
  <c r="P62" i="2"/>
  <c r="A62" i="2"/>
  <c r="N61" i="2"/>
  <c r="M61" i="2"/>
  <c r="L61" i="2"/>
  <c r="K61" i="2"/>
  <c r="J61" i="2"/>
  <c r="I61" i="2"/>
  <c r="H61" i="2"/>
  <c r="G61" i="2"/>
  <c r="F61" i="2"/>
  <c r="E61" i="2"/>
  <c r="D61" i="2"/>
  <c r="P61" i="2" s="1"/>
  <c r="C61" i="2"/>
  <c r="A61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Q73" i="1"/>
  <c r="Q72" i="1"/>
  <c r="R71" i="1"/>
  <c r="Q70" i="1"/>
  <c r="A1" i="8"/>
  <c r="D5" i="8"/>
  <c r="F5" i="8"/>
  <c r="G5" i="8"/>
  <c r="H5" i="8"/>
  <c r="I5" i="8"/>
  <c r="J5" i="8"/>
  <c r="K5" i="8"/>
  <c r="L5" i="8"/>
  <c r="M5" i="8"/>
  <c r="N5" i="8"/>
  <c r="C6" i="8"/>
  <c r="D6" i="8"/>
  <c r="F6" i="8"/>
  <c r="G6" i="8"/>
  <c r="H6" i="8"/>
  <c r="I6" i="8"/>
  <c r="J6" i="8"/>
  <c r="K6" i="8"/>
  <c r="L6" i="8"/>
  <c r="M6" i="8"/>
  <c r="N6" i="8"/>
  <c r="D7" i="8"/>
  <c r="E7" i="8"/>
  <c r="F7" i="8"/>
  <c r="G7" i="8"/>
  <c r="I7" i="8"/>
  <c r="J7" i="8"/>
  <c r="K7" i="8"/>
  <c r="L7" i="8"/>
  <c r="M7" i="8"/>
  <c r="N7" i="8"/>
  <c r="D8" i="8"/>
  <c r="E8" i="8"/>
  <c r="G8" i="8"/>
  <c r="H8" i="8"/>
  <c r="I8" i="8"/>
  <c r="J8" i="8"/>
  <c r="K8" i="8"/>
  <c r="L8" i="8"/>
  <c r="M8" i="8"/>
  <c r="N8" i="8"/>
  <c r="C16" i="8"/>
  <c r="D16" i="8"/>
  <c r="E16" i="8"/>
  <c r="F16" i="8"/>
  <c r="G16" i="8"/>
  <c r="H16" i="8"/>
  <c r="I16" i="8"/>
  <c r="J16" i="8"/>
  <c r="K16" i="8"/>
  <c r="L16" i="8"/>
  <c r="M16" i="8"/>
  <c r="N16" i="8"/>
  <c r="C17" i="8"/>
  <c r="D17" i="8"/>
  <c r="E17" i="8"/>
  <c r="F17" i="8"/>
  <c r="G17" i="8"/>
  <c r="H17" i="8"/>
  <c r="I17" i="8"/>
  <c r="J17" i="8"/>
  <c r="K17" i="8"/>
  <c r="L17" i="8"/>
  <c r="M17" i="8"/>
  <c r="N17" i="8"/>
  <c r="C18" i="8"/>
  <c r="D18" i="8"/>
  <c r="E18" i="8"/>
  <c r="F18" i="8"/>
  <c r="G18" i="8"/>
  <c r="H18" i="8"/>
  <c r="I18" i="8"/>
  <c r="J18" i="8"/>
  <c r="K18" i="8"/>
  <c r="L18" i="8"/>
  <c r="M18" i="8"/>
  <c r="N18" i="8"/>
  <c r="C19" i="8"/>
  <c r="D19" i="8"/>
  <c r="E19" i="8"/>
  <c r="F19" i="8"/>
  <c r="G19" i="8"/>
  <c r="H19" i="8"/>
  <c r="I19" i="8"/>
  <c r="J19" i="8"/>
  <c r="K19" i="8"/>
  <c r="L19" i="8"/>
  <c r="M19" i="8"/>
  <c r="N19" i="8"/>
  <c r="C23" i="8"/>
  <c r="D23" i="8"/>
  <c r="E23" i="8"/>
  <c r="F23" i="8"/>
  <c r="G23" i="8"/>
  <c r="H23" i="8"/>
  <c r="I23" i="8"/>
  <c r="J23" i="8"/>
  <c r="K23" i="8"/>
  <c r="L23" i="8"/>
  <c r="M23" i="8"/>
  <c r="N23" i="8"/>
  <c r="C24" i="8"/>
  <c r="D24" i="8"/>
  <c r="E24" i="8"/>
  <c r="F24" i="8"/>
  <c r="G24" i="8"/>
  <c r="H24" i="8"/>
  <c r="I24" i="8"/>
  <c r="J24" i="8"/>
  <c r="K24" i="8"/>
  <c r="L24" i="8"/>
  <c r="M24" i="8"/>
  <c r="N24" i="8"/>
  <c r="C25" i="8"/>
  <c r="D25" i="8"/>
  <c r="E25" i="8"/>
  <c r="F25" i="8"/>
  <c r="G25" i="8"/>
  <c r="H25" i="8"/>
  <c r="I25" i="8"/>
  <c r="J25" i="8"/>
  <c r="K25" i="8"/>
  <c r="L25" i="8"/>
  <c r="M25" i="8"/>
  <c r="N25" i="8"/>
  <c r="C26" i="8"/>
  <c r="D26" i="8"/>
  <c r="E26" i="8"/>
  <c r="F26" i="8"/>
  <c r="G26" i="8"/>
  <c r="H26" i="8"/>
  <c r="I26" i="8"/>
  <c r="J26" i="8"/>
  <c r="K26" i="8"/>
  <c r="L26" i="8"/>
  <c r="M26" i="8"/>
  <c r="N26" i="8"/>
  <c r="C30" i="8"/>
  <c r="D30" i="8"/>
  <c r="E30" i="8"/>
  <c r="F30" i="8"/>
  <c r="G30" i="8"/>
  <c r="H30" i="8"/>
  <c r="I30" i="8"/>
  <c r="J30" i="8"/>
  <c r="K30" i="8"/>
  <c r="L30" i="8"/>
  <c r="M30" i="8"/>
  <c r="N30" i="8"/>
  <c r="P30" i="8"/>
  <c r="C31" i="8"/>
  <c r="D31" i="8"/>
  <c r="E31" i="8"/>
  <c r="F31" i="8"/>
  <c r="P31" i="8" s="1"/>
  <c r="G31" i="8"/>
  <c r="H31" i="8"/>
  <c r="I31" i="8"/>
  <c r="J31" i="8"/>
  <c r="K31" i="8"/>
  <c r="L31" i="8"/>
  <c r="M31" i="8"/>
  <c r="N31" i="8"/>
  <c r="C32" i="8"/>
  <c r="D32" i="8"/>
  <c r="E32" i="8"/>
  <c r="P32" i="8" s="1"/>
  <c r="F32" i="8"/>
  <c r="G32" i="8"/>
  <c r="H32" i="8"/>
  <c r="I32" i="8"/>
  <c r="J32" i="8"/>
  <c r="K32" i="8"/>
  <c r="L32" i="8"/>
  <c r="M32" i="8"/>
  <c r="N32" i="8"/>
  <c r="C33" i="8"/>
  <c r="D33" i="8"/>
  <c r="P33" i="8" s="1"/>
  <c r="E33" i="8"/>
  <c r="F33" i="8"/>
  <c r="G33" i="8"/>
  <c r="H33" i="8"/>
  <c r="I33" i="8"/>
  <c r="J33" i="8"/>
  <c r="K33" i="8"/>
  <c r="L33" i="8"/>
  <c r="M33" i="8"/>
  <c r="N33" i="8"/>
  <c r="C37" i="8"/>
  <c r="D37" i="8"/>
  <c r="E37" i="8"/>
  <c r="F37" i="8"/>
  <c r="G37" i="8"/>
  <c r="H37" i="8"/>
  <c r="I37" i="8"/>
  <c r="J37" i="8"/>
  <c r="K37" i="8"/>
  <c r="L37" i="8"/>
  <c r="M37" i="8"/>
  <c r="N37" i="8"/>
  <c r="P37" i="8"/>
  <c r="C38" i="8"/>
  <c r="D38" i="8"/>
  <c r="E38" i="8"/>
  <c r="P38" i="8" s="1"/>
  <c r="F38" i="8"/>
  <c r="G38" i="8"/>
  <c r="H38" i="8"/>
  <c r="I38" i="8"/>
  <c r="J38" i="8"/>
  <c r="K38" i="8"/>
  <c r="L38" i="8"/>
  <c r="M38" i="8"/>
  <c r="N38" i="8"/>
  <c r="C39" i="8"/>
  <c r="D39" i="8"/>
  <c r="P39" i="8" s="1"/>
  <c r="E39" i="8"/>
  <c r="F39" i="8"/>
  <c r="G39" i="8"/>
  <c r="H39" i="8"/>
  <c r="I39" i="8"/>
  <c r="J39" i="8"/>
  <c r="K39" i="8"/>
  <c r="L39" i="8"/>
  <c r="M39" i="8"/>
  <c r="N39" i="8"/>
  <c r="C40" i="8"/>
  <c r="P40" i="8" s="1"/>
  <c r="D40" i="8"/>
  <c r="E40" i="8"/>
  <c r="G40" i="8"/>
  <c r="H40" i="8"/>
  <c r="I40" i="8"/>
  <c r="J40" i="8"/>
  <c r="K40" i="8"/>
  <c r="L40" i="8"/>
  <c r="M40" i="8"/>
  <c r="N40" i="8"/>
  <c r="C45" i="8"/>
  <c r="D45" i="8"/>
  <c r="P45" i="8" s="1"/>
  <c r="E45" i="8"/>
  <c r="F45" i="8"/>
  <c r="G45" i="8"/>
  <c r="H45" i="8"/>
  <c r="I45" i="8"/>
  <c r="J45" i="8"/>
  <c r="K45" i="8"/>
  <c r="L45" i="8"/>
  <c r="M45" i="8"/>
  <c r="N45" i="8"/>
  <c r="C46" i="8"/>
  <c r="D46" i="8"/>
  <c r="E46" i="8"/>
  <c r="F46" i="8"/>
  <c r="G46" i="8"/>
  <c r="H46" i="8"/>
  <c r="I46" i="8"/>
  <c r="J46" i="8"/>
  <c r="K46" i="8"/>
  <c r="L46" i="8"/>
  <c r="M46" i="8"/>
  <c r="N46" i="8"/>
  <c r="P46" i="8"/>
  <c r="C47" i="8"/>
  <c r="D47" i="8"/>
  <c r="E47" i="8"/>
  <c r="P47" i="8" s="1"/>
  <c r="F47" i="8"/>
  <c r="G47" i="8"/>
  <c r="H47" i="8"/>
  <c r="I47" i="8"/>
  <c r="J47" i="8"/>
  <c r="K47" i="8"/>
  <c r="L47" i="8"/>
  <c r="M47" i="8"/>
  <c r="N47" i="8"/>
  <c r="C48" i="8"/>
  <c r="D48" i="8"/>
  <c r="P48" i="8" s="1"/>
  <c r="E48" i="8"/>
  <c r="F48" i="8"/>
  <c r="G48" i="8"/>
  <c r="H48" i="8"/>
  <c r="I48" i="8"/>
  <c r="J48" i="8"/>
  <c r="K48" i="8"/>
  <c r="L48" i="8"/>
  <c r="M48" i="8"/>
  <c r="N48" i="8"/>
  <c r="C54" i="8"/>
  <c r="D54" i="8"/>
  <c r="P54" i="8" s="1"/>
  <c r="E54" i="8"/>
  <c r="F54" i="8"/>
  <c r="G54" i="8"/>
  <c r="H54" i="8"/>
  <c r="I54" i="8"/>
  <c r="J54" i="8"/>
  <c r="K54" i="8"/>
  <c r="L54" i="8"/>
  <c r="M54" i="8"/>
  <c r="N54" i="8"/>
  <c r="C55" i="8"/>
  <c r="D55" i="8"/>
  <c r="E55" i="8"/>
  <c r="F55" i="8"/>
  <c r="G55" i="8"/>
  <c r="H55" i="8"/>
  <c r="I55" i="8"/>
  <c r="J55" i="8"/>
  <c r="K55" i="8"/>
  <c r="L55" i="8"/>
  <c r="M55" i="8"/>
  <c r="N55" i="8"/>
  <c r="P55" i="8"/>
  <c r="C56" i="8"/>
  <c r="D56" i="8"/>
  <c r="E56" i="8"/>
  <c r="P56" i="8" s="1"/>
  <c r="F56" i="8"/>
  <c r="G56" i="8"/>
  <c r="H56" i="8"/>
  <c r="I56" i="8"/>
  <c r="J56" i="8"/>
  <c r="K56" i="8"/>
  <c r="L56" i="8"/>
  <c r="M56" i="8"/>
  <c r="N56" i="8"/>
  <c r="C57" i="8"/>
  <c r="D57" i="8"/>
  <c r="P57" i="8" s="1"/>
  <c r="E57" i="8"/>
  <c r="F57" i="8"/>
  <c r="G57" i="8"/>
  <c r="H57" i="8"/>
  <c r="I57" i="8"/>
  <c r="J57" i="8"/>
  <c r="K57" i="8"/>
  <c r="L57" i="8"/>
  <c r="M57" i="8"/>
  <c r="N57" i="8"/>
  <c r="Q5" i="7"/>
  <c r="Q6" i="7"/>
  <c r="R9" i="7" s="1"/>
  <c r="Q7" i="7"/>
  <c r="Q8" i="7"/>
  <c r="Q16" i="7"/>
  <c r="Q17" i="7"/>
  <c r="Q18" i="7"/>
  <c r="Q19" i="7"/>
  <c r="R20" i="7"/>
  <c r="Q23" i="7"/>
  <c r="Q24" i="7"/>
  <c r="Q25" i="7"/>
  <c r="R27" i="7" s="1"/>
  <c r="Q26" i="7"/>
  <c r="Q30" i="7"/>
  <c r="Q31" i="7"/>
  <c r="R34" i="7" s="1"/>
  <c r="Q32" i="7"/>
  <c r="Q33" i="7"/>
  <c r="Q37" i="7"/>
  <c r="Q38" i="7"/>
  <c r="R41" i="7" s="1"/>
  <c r="Q39" i="7"/>
  <c r="Q40" i="7"/>
  <c r="Q45" i="7"/>
  <c r="R50" i="7" s="1"/>
  <c r="Q46" i="7"/>
  <c r="Q47" i="7"/>
  <c r="Q48" i="7"/>
  <c r="Q49" i="7"/>
  <c r="Q56" i="7"/>
  <c r="Q57" i="7"/>
  <c r="R60" i="7" s="1"/>
  <c r="Q58" i="7"/>
  <c r="Q59" i="7"/>
  <c r="C2" i="5"/>
  <c r="C3" i="5"/>
  <c r="B4" i="5"/>
  <c r="D4" i="5"/>
  <c r="F4" i="5"/>
  <c r="G4" i="5"/>
  <c r="H4" i="5"/>
  <c r="I4" i="5"/>
  <c r="J4" i="5"/>
  <c r="K4" i="5"/>
  <c r="L4" i="5"/>
  <c r="M4" i="5"/>
  <c r="N4" i="5"/>
  <c r="O4" i="5"/>
  <c r="D5" i="5"/>
  <c r="F5" i="5"/>
  <c r="G5" i="5"/>
  <c r="H5" i="5"/>
  <c r="I5" i="5"/>
  <c r="J5" i="5"/>
  <c r="K5" i="5"/>
  <c r="L5" i="5"/>
  <c r="M5" i="5"/>
  <c r="N5" i="5"/>
  <c r="O5" i="5"/>
  <c r="E6" i="5"/>
  <c r="F6" i="5"/>
  <c r="G6" i="5"/>
  <c r="H6" i="5"/>
  <c r="I6" i="5"/>
  <c r="J6" i="5"/>
  <c r="K6" i="5"/>
  <c r="L6" i="5"/>
  <c r="M6" i="5"/>
  <c r="N6" i="5"/>
  <c r="O6" i="5"/>
  <c r="E7" i="5"/>
  <c r="F7" i="5"/>
  <c r="G7" i="5"/>
  <c r="H7" i="5"/>
  <c r="I7" i="5"/>
  <c r="J7" i="5"/>
  <c r="K7" i="5"/>
  <c r="L7" i="5"/>
  <c r="M7" i="5"/>
  <c r="N7" i="5"/>
  <c r="O7" i="5"/>
  <c r="D8" i="5"/>
  <c r="E8" i="5"/>
  <c r="F8" i="5"/>
  <c r="G8" i="5"/>
  <c r="H8" i="5"/>
  <c r="I8" i="5"/>
  <c r="J8" i="5"/>
  <c r="K8" i="5"/>
  <c r="L8" i="5"/>
  <c r="M8" i="5"/>
  <c r="N8" i="5"/>
  <c r="O8" i="5"/>
  <c r="D9" i="5"/>
  <c r="E9" i="5"/>
  <c r="F9" i="5"/>
  <c r="G9" i="5"/>
  <c r="H9" i="5"/>
  <c r="I9" i="5"/>
  <c r="J9" i="5"/>
  <c r="K9" i="5"/>
  <c r="L9" i="5"/>
  <c r="M9" i="5"/>
  <c r="N9" i="5"/>
  <c r="O9" i="5"/>
  <c r="D10" i="5"/>
  <c r="E10" i="5"/>
  <c r="F10" i="5"/>
  <c r="G10" i="5"/>
  <c r="H10" i="5"/>
  <c r="I10" i="5"/>
  <c r="J10" i="5"/>
  <c r="K10" i="5"/>
  <c r="L10" i="5"/>
  <c r="M10" i="5"/>
  <c r="N10" i="5"/>
  <c r="O10" i="5"/>
  <c r="D11" i="5"/>
  <c r="E11" i="5"/>
  <c r="F11" i="5"/>
  <c r="G11" i="5"/>
  <c r="H11" i="5"/>
  <c r="I11" i="5"/>
  <c r="J11" i="5"/>
  <c r="K11" i="5"/>
  <c r="L11" i="5"/>
  <c r="M11" i="5"/>
  <c r="N11" i="5"/>
  <c r="O11" i="5"/>
  <c r="D12" i="5"/>
  <c r="E12" i="5"/>
  <c r="F12" i="5"/>
  <c r="G12" i="5"/>
  <c r="H12" i="5"/>
  <c r="I12" i="5"/>
  <c r="J12" i="5"/>
  <c r="K12" i="5"/>
  <c r="L12" i="5"/>
  <c r="M12" i="5"/>
  <c r="N12" i="5"/>
  <c r="O12" i="5"/>
  <c r="D13" i="5"/>
  <c r="E13" i="5"/>
  <c r="F13" i="5"/>
  <c r="G13" i="5"/>
  <c r="H13" i="5"/>
  <c r="I13" i="5"/>
  <c r="J13" i="5"/>
  <c r="K13" i="5"/>
  <c r="L13" i="5"/>
  <c r="M13" i="5"/>
  <c r="N13" i="5"/>
  <c r="O13" i="5"/>
  <c r="D14" i="5"/>
  <c r="E14" i="5"/>
  <c r="F14" i="5"/>
  <c r="G14" i="5"/>
  <c r="H14" i="5"/>
  <c r="I14" i="5"/>
  <c r="J14" i="5"/>
  <c r="K14" i="5"/>
  <c r="L14" i="5"/>
  <c r="M14" i="5"/>
  <c r="N14" i="5"/>
  <c r="O14" i="5"/>
  <c r="D15" i="5"/>
  <c r="E15" i="5"/>
  <c r="F15" i="5"/>
  <c r="G15" i="5"/>
  <c r="H15" i="5"/>
  <c r="I15" i="5"/>
  <c r="J15" i="5"/>
  <c r="K15" i="5"/>
  <c r="L15" i="5"/>
  <c r="M15" i="5"/>
  <c r="N15" i="5"/>
  <c r="O15" i="5"/>
  <c r="C22" i="5"/>
  <c r="C23" i="5"/>
  <c r="D24" i="5"/>
  <c r="E24" i="5"/>
  <c r="F24" i="5"/>
  <c r="G24" i="5"/>
  <c r="H24" i="5"/>
  <c r="I24" i="5"/>
  <c r="J24" i="5"/>
  <c r="K24" i="5"/>
  <c r="L24" i="5"/>
  <c r="M24" i="5"/>
  <c r="N24" i="5"/>
  <c r="Q24" i="5" s="1"/>
  <c r="R37" i="5" s="1"/>
  <c r="O24" i="5"/>
  <c r="D25" i="5"/>
  <c r="E25" i="5"/>
  <c r="Q25" i="5" s="1"/>
  <c r="F25" i="5"/>
  <c r="G25" i="5"/>
  <c r="H25" i="5"/>
  <c r="I25" i="5"/>
  <c r="J25" i="5"/>
  <c r="K25" i="5"/>
  <c r="L25" i="5"/>
  <c r="M25" i="5"/>
  <c r="N25" i="5"/>
  <c r="O25" i="5"/>
  <c r="D26" i="5"/>
  <c r="Q26" i="5" s="1"/>
  <c r="E26" i="5"/>
  <c r="F26" i="5"/>
  <c r="G26" i="5"/>
  <c r="H26" i="5"/>
  <c r="I26" i="5"/>
  <c r="J26" i="5"/>
  <c r="K26" i="5"/>
  <c r="L26" i="5"/>
  <c r="M26" i="5"/>
  <c r="N26" i="5"/>
  <c r="O26" i="5"/>
  <c r="D27" i="5"/>
  <c r="E27" i="5"/>
  <c r="F27" i="5"/>
  <c r="G27" i="5"/>
  <c r="H27" i="5"/>
  <c r="I27" i="5"/>
  <c r="J27" i="5"/>
  <c r="K27" i="5"/>
  <c r="L27" i="5"/>
  <c r="M27" i="5"/>
  <c r="N27" i="5"/>
  <c r="O27" i="5"/>
  <c r="Q27" i="5"/>
  <c r="Q29" i="5"/>
  <c r="D30" i="5"/>
  <c r="E30" i="5"/>
  <c r="F30" i="5"/>
  <c r="G30" i="5"/>
  <c r="H30" i="5"/>
  <c r="I30" i="5"/>
  <c r="J30" i="5"/>
  <c r="K30" i="5"/>
  <c r="L30" i="5"/>
  <c r="M30" i="5"/>
  <c r="N30" i="5"/>
  <c r="O30" i="5"/>
  <c r="D31" i="5"/>
  <c r="E31" i="5"/>
  <c r="F31" i="5"/>
  <c r="G31" i="5"/>
  <c r="H31" i="5"/>
  <c r="I31" i="5"/>
  <c r="J31" i="5"/>
  <c r="K31" i="5"/>
  <c r="L31" i="5"/>
  <c r="M31" i="5"/>
  <c r="N31" i="5"/>
  <c r="O31" i="5"/>
  <c r="D32" i="5"/>
  <c r="E32" i="5"/>
  <c r="F32" i="5"/>
  <c r="G32" i="5"/>
  <c r="H32" i="5"/>
  <c r="I32" i="5"/>
  <c r="J32" i="5"/>
  <c r="K32" i="5"/>
  <c r="L32" i="5"/>
  <c r="M32" i="5"/>
  <c r="N32" i="5"/>
  <c r="O32" i="5"/>
  <c r="D33" i="5"/>
  <c r="E33" i="5"/>
  <c r="F33" i="5"/>
  <c r="G33" i="5"/>
  <c r="H33" i="5"/>
  <c r="I33" i="5"/>
  <c r="J33" i="5"/>
  <c r="K33" i="5"/>
  <c r="L33" i="5"/>
  <c r="M33" i="5"/>
  <c r="N33" i="5"/>
  <c r="O33" i="5"/>
  <c r="D34" i="5"/>
  <c r="E34" i="5"/>
  <c r="F34" i="5"/>
  <c r="G34" i="5"/>
  <c r="H34" i="5"/>
  <c r="I34" i="5"/>
  <c r="J34" i="5"/>
  <c r="K34" i="5"/>
  <c r="L34" i="5"/>
  <c r="M34" i="5"/>
  <c r="N34" i="5"/>
  <c r="O34" i="5"/>
  <c r="Q36" i="5"/>
  <c r="D37" i="5"/>
  <c r="E37" i="5"/>
  <c r="F37" i="5"/>
  <c r="G37" i="5"/>
  <c r="H37" i="5"/>
  <c r="I37" i="5"/>
  <c r="J37" i="5"/>
  <c r="K37" i="5"/>
  <c r="L37" i="5"/>
  <c r="M37" i="5"/>
  <c r="N37" i="5"/>
  <c r="O37" i="5"/>
  <c r="C41" i="5"/>
  <c r="D43" i="5"/>
  <c r="E43" i="5"/>
  <c r="F43" i="5"/>
  <c r="G43" i="5"/>
  <c r="H43" i="5"/>
  <c r="I43" i="5"/>
  <c r="J43" i="5"/>
  <c r="K43" i="5"/>
  <c r="L43" i="5"/>
  <c r="M43" i="5"/>
  <c r="N43" i="5"/>
  <c r="O43" i="5"/>
  <c r="Q43" i="5" s="1"/>
  <c r="D44" i="5"/>
  <c r="E44" i="5"/>
  <c r="F44" i="5"/>
  <c r="Q44" i="5" s="1"/>
  <c r="G44" i="5"/>
  <c r="H44" i="5"/>
  <c r="I44" i="5"/>
  <c r="J44" i="5"/>
  <c r="K44" i="5"/>
  <c r="L44" i="5"/>
  <c r="M44" i="5"/>
  <c r="N44" i="5"/>
  <c r="O44" i="5"/>
  <c r="D45" i="5"/>
  <c r="E45" i="5"/>
  <c r="Q45" i="5" s="1"/>
  <c r="F45" i="5"/>
  <c r="G45" i="5"/>
  <c r="H45" i="5"/>
  <c r="I45" i="5"/>
  <c r="J45" i="5"/>
  <c r="K45" i="5"/>
  <c r="L45" i="5"/>
  <c r="M45" i="5"/>
  <c r="N45" i="5"/>
  <c r="O45" i="5"/>
  <c r="D46" i="5"/>
  <c r="E46" i="5"/>
  <c r="Q46" i="5" s="1"/>
  <c r="F46" i="5"/>
  <c r="G46" i="5"/>
  <c r="H46" i="5"/>
  <c r="I46" i="5"/>
  <c r="J46" i="5"/>
  <c r="K46" i="5"/>
  <c r="L46" i="5"/>
  <c r="M46" i="5"/>
  <c r="N46" i="5"/>
  <c r="O46" i="5"/>
  <c r="Q48" i="5"/>
  <c r="D49" i="5"/>
  <c r="E49" i="5"/>
  <c r="F49" i="5"/>
  <c r="G49" i="5"/>
  <c r="H49" i="5"/>
  <c r="I49" i="5"/>
  <c r="J49" i="5"/>
  <c r="K49" i="5"/>
  <c r="L49" i="5"/>
  <c r="M49" i="5"/>
  <c r="N49" i="5"/>
  <c r="O49" i="5"/>
  <c r="D50" i="5"/>
  <c r="E50" i="5"/>
  <c r="F50" i="5"/>
  <c r="G50" i="5"/>
  <c r="H50" i="5"/>
  <c r="I50" i="5"/>
  <c r="J50" i="5"/>
  <c r="K50" i="5"/>
  <c r="L50" i="5"/>
  <c r="M50" i="5"/>
  <c r="N50" i="5"/>
  <c r="O50" i="5"/>
  <c r="D51" i="5"/>
  <c r="E51" i="5"/>
  <c r="F51" i="5"/>
  <c r="G51" i="5"/>
  <c r="H51" i="5"/>
  <c r="I51" i="5"/>
  <c r="J51" i="5"/>
  <c r="K51" i="5"/>
  <c r="L51" i="5"/>
  <c r="M51" i="5"/>
  <c r="N51" i="5"/>
  <c r="O51" i="5"/>
  <c r="D52" i="5"/>
  <c r="E52" i="5"/>
  <c r="F52" i="5"/>
  <c r="G52" i="5"/>
  <c r="H52" i="5"/>
  <c r="I52" i="5"/>
  <c r="J52" i="5"/>
  <c r="K52" i="5"/>
  <c r="L52" i="5"/>
  <c r="M52" i="5"/>
  <c r="N52" i="5"/>
  <c r="O52" i="5"/>
  <c r="D53" i="5"/>
  <c r="E53" i="5"/>
  <c r="F53" i="5"/>
  <c r="G53" i="5"/>
  <c r="H53" i="5"/>
  <c r="I53" i="5"/>
  <c r="J53" i="5"/>
  <c r="K53" i="5"/>
  <c r="L53" i="5"/>
  <c r="M53" i="5"/>
  <c r="N53" i="5"/>
  <c r="O53" i="5"/>
  <c r="Q55" i="5"/>
  <c r="D56" i="5"/>
  <c r="E56" i="5"/>
  <c r="F56" i="5"/>
  <c r="G56" i="5"/>
  <c r="H56" i="5"/>
  <c r="I56" i="5"/>
  <c r="J56" i="5"/>
  <c r="K56" i="5"/>
  <c r="L56" i="5"/>
  <c r="M56" i="5"/>
  <c r="N56" i="5"/>
  <c r="O56" i="5"/>
  <c r="D66" i="5"/>
  <c r="E66" i="5"/>
  <c r="Q66" i="5" s="1"/>
  <c r="F66" i="5"/>
  <c r="G66" i="5"/>
  <c r="H66" i="5"/>
  <c r="I66" i="5"/>
  <c r="J66" i="5"/>
  <c r="K66" i="5"/>
  <c r="L66" i="5"/>
  <c r="M66" i="5"/>
  <c r="N66" i="5"/>
  <c r="O66" i="5"/>
  <c r="D67" i="5"/>
  <c r="E67" i="5"/>
  <c r="Q67" i="5" s="1"/>
  <c r="F67" i="5"/>
  <c r="G67" i="5"/>
  <c r="H67" i="5"/>
  <c r="I67" i="5"/>
  <c r="J67" i="5"/>
  <c r="K67" i="5"/>
  <c r="L67" i="5"/>
  <c r="M67" i="5"/>
  <c r="N67" i="5"/>
  <c r="O67" i="5"/>
  <c r="D68" i="5"/>
  <c r="E68" i="5"/>
  <c r="F68" i="5"/>
  <c r="G68" i="5"/>
  <c r="H68" i="5"/>
  <c r="I68" i="5"/>
  <c r="J68" i="5"/>
  <c r="K68" i="5"/>
  <c r="Q68" i="5" s="1"/>
  <c r="L68" i="5"/>
  <c r="M68" i="5"/>
  <c r="N68" i="5"/>
  <c r="O68" i="5"/>
  <c r="D69" i="5"/>
  <c r="E69" i="5"/>
  <c r="F69" i="5"/>
  <c r="Q69" i="5" s="1"/>
  <c r="G69" i="5"/>
  <c r="H69" i="5"/>
  <c r="I69" i="5"/>
  <c r="J69" i="5"/>
  <c r="K69" i="5"/>
  <c r="L69" i="5"/>
  <c r="M69" i="5"/>
  <c r="N69" i="5"/>
  <c r="O69" i="5"/>
  <c r="Q71" i="5"/>
  <c r="D72" i="5"/>
  <c r="E72" i="5"/>
  <c r="F72" i="5"/>
  <c r="G72" i="5"/>
  <c r="H72" i="5"/>
  <c r="I72" i="5"/>
  <c r="J72" i="5"/>
  <c r="K72" i="5"/>
  <c r="L72" i="5"/>
  <c r="M72" i="5"/>
  <c r="N72" i="5"/>
  <c r="O72" i="5"/>
  <c r="D73" i="5"/>
  <c r="E73" i="5"/>
  <c r="F73" i="5"/>
  <c r="G73" i="5"/>
  <c r="H73" i="5"/>
  <c r="I73" i="5"/>
  <c r="J73" i="5"/>
  <c r="K73" i="5"/>
  <c r="L73" i="5"/>
  <c r="M73" i="5"/>
  <c r="N73" i="5"/>
  <c r="O73" i="5"/>
  <c r="D74" i="5"/>
  <c r="E74" i="5"/>
  <c r="P74" i="5" s="1"/>
  <c r="S74" i="5" s="1"/>
  <c r="F74" i="5"/>
  <c r="G74" i="5"/>
  <c r="H74" i="5"/>
  <c r="I74" i="5"/>
  <c r="J74" i="5"/>
  <c r="K74" i="5"/>
  <c r="L74" i="5"/>
  <c r="M74" i="5"/>
  <c r="N74" i="5"/>
  <c r="O74" i="5"/>
  <c r="D75" i="5"/>
  <c r="E75" i="5"/>
  <c r="F75" i="5"/>
  <c r="G75" i="5"/>
  <c r="H75" i="5"/>
  <c r="I75" i="5"/>
  <c r="J75" i="5"/>
  <c r="K75" i="5"/>
  <c r="L75" i="5"/>
  <c r="M75" i="5"/>
  <c r="N75" i="5"/>
  <c r="O75" i="5"/>
  <c r="D76" i="5"/>
  <c r="E76" i="5"/>
  <c r="F76" i="5"/>
  <c r="G76" i="5"/>
  <c r="H76" i="5"/>
  <c r="I76" i="5"/>
  <c r="J76" i="5"/>
  <c r="K76" i="5"/>
  <c r="L76" i="5"/>
  <c r="M76" i="5"/>
  <c r="N76" i="5"/>
  <c r="O76" i="5"/>
  <c r="Q78" i="5"/>
  <c r="D79" i="5"/>
  <c r="E79" i="5"/>
  <c r="F79" i="5"/>
  <c r="G79" i="5"/>
  <c r="H79" i="5"/>
  <c r="I79" i="5"/>
  <c r="J79" i="5"/>
  <c r="K79" i="5"/>
  <c r="L79" i="5"/>
  <c r="M79" i="5"/>
  <c r="N79" i="5"/>
  <c r="O79" i="5"/>
  <c r="D87" i="5"/>
  <c r="E87" i="5"/>
  <c r="Q87" i="5" s="1"/>
  <c r="F87" i="5"/>
  <c r="G87" i="5"/>
  <c r="H87" i="5"/>
  <c r="I87" i="5"/>
  <c r="J87" i="5"/>
  <c r="K87" i="5"/>
  <c r="L87" i="5"/>
  <c r="M87" i="5"/>
  <c r="N87" i="5"/>
  <c r="O87" i="5"/>
  <c r="D88" i="5"/>
  <c r="Q88" i="5" s="1"/>
  <c r="E88" i="5"/>
  <c r="F88" i="5"/>
  <c r="G88" i="5"/>
  <c r="H88" i="5"/>
  <c r="I88" i="5"/>
  <c r="J88" i="5"/>
  <c r="K88" i="5"/>
  <c r="L88" i="5"/>
  <c r="M88" i="5"/>
  <c r="N88" i="5"/>
  <c r="O88" i="5"/>
  <c r="D89" i="5"/>
  <c r="Q89" i="5" s="1"/>
  <c r="E89" i="5"/>
  <c r="F89" i="5"/>
  <c r="G89" i="5"/>
  <c r="H89" i="5"/>
  <c r="I89" i="5"/>
  <c r="J89" i="5"/>
  <c r="K89" i="5"/>
  <c r="L89" i="5"/>
  <c r="M89" i="5"/>
  <c r="N89" i="5"/>
  <c r="O89" i="5"/>
  <c r="D90" i="5"/>
  <c r="E90" i="5"/>
  <c r="F90" i="5"/>
  <c r="Q90" i="5" s="1"/>
  <c r="G90" i="5"/>
  <c r="H90" i="5"/>
  <c r="I90" i="5"/>
  <c r="J90" i="5"/>
  <c r="K90" i="5"/>
  <c r="L90" i="5"/>
  <c r="M90" i="5"/>
  <c r="N90" i="5"/>
  <c r="O90" i="5"/>
  <c r="Q92" i="5"/>
  <c r="D93" i="5"/>
  <c r="E93" i="5"/>
  <c r="P93" i="5" s="1"/>
  <c r="F93" i="5"/>
  <c r="G93" i="5"/>
  <c r="H93" i="5"/>
  <c r="I93" i="5"/>
  <c r="J93" i="5"/>
  <c r="K93" i="5"/>
  <c r="L93" i="5"/>
  <c r="M93" i="5"/>
  <c r="N93" i="5"/>
  <c r="O93" i="5"/>
  <c r="D94" i="5"/>
  <c r="P94" i="5" s="1"/>
  <c r="E94" i="5"/>
  <c r="F94" i="5"/>
  <c r="G94" i="5"/>
  <c r="H94" i="5"/>
  <c r="I94" i="5"/>
  <c r="J94" i="5"/>
  <c r="K94" i="5"/>
  <c r="L94" i="5"/>
  <c r="M94" i="5"/>
  <c r="N94" i="5"/>
  <c r="O94" i="5"/>
  <c r="D95" i="5"/>
  <c r="E95" i="5"/>
  <c r="F95" i="5"/>
  <c r="P95" i="5" s="1"/>
  <c r="S95" i="5" s="1"/>
  <c r="G95" i="5"/>
  <c r="H95" i="5"/>
  <c r="I95" i="5"/>
  <c r="J95" i="5"/>
  <c r="K95" i="5"/>
  <c r="L95" i="5"/>
  <c r="M95" i="5"/>
  <c r="N95" i="5"/>
  <c r="O95" i="5"/>
  <c r="D96" i="5"/>
  <c r="E96" i="5"/>
  <c r="P96" i="5" s="1"/>
  <c r="F96" i="5"/>
  <c r="G96" i="5"/>
  <c r="H96" i="5"/>
  <c r="I96" i="5"/>
  <c r="J96" i="5"/>
  <c r="K96" i="5"/>
  <c r="L96" i="5"/>
  <c r="M96" i="5"/>
  <c r="N96" i="5"/>
  <c r="O96" i="5"/>
  <c r="D97" i="5"/>
  <c r="P97" i="5" s="1"/>
  <c r="E97" i="5"/>
  <c r="F97" i="5"/>
  <c r="G97" i="5"/>
  <c r="H97" i="5"/>
  <c r="I97" i="5"/>
  <c r="J97" i="5"/>
  <c r="K97" i="5"/>
  <c r="L97" i="5"/>
  <c r="M97" i="5"/>
  <c r="N97" i="5"/>
  <c r="O97" i="5"/>
  <c r="Q99" i="5"/>
  <c r="D100" i="5"/>
  <c r="E100" i="5"/>
  <c r="F100" i="5"/>
  <c r="G100" i="5"/>
  <c r="H100" i="5"/>
  <c r="I100" i="5"/>
  <c r="P100" i="5" s="1"/>
  <c r="J100" i="5"/>
  <c r="K100" i="5"/>
  <c r="L100" i="5"/>
  <c r="M100" i="5"/>
  <c r="N100" i="5"/>
  <c r="O100" i="5"/>
  <c r="D108" i="5"/>
  <c r="Q108" i="5" s="1"/>
  <c r="E108" i="5"/>
  <c r="F108" i="5"/>
  <c r="G108" i="5"/>
  <c r="H108" i="5"/>
  <c r="I108" i="5"/>
  <c r="J108" i="5"/>
  <c r="K108" i="5"/>
  <c r="L108" i="5"/>
  <c r="M108" i="5"/>
  <c r="N108" i="5"/>
  <c r="O108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Q109" i="5"/>
  <c r="D110" i="5"/>
  <c r="E110" i="5"/>
  <c r="Q110" i="5" s="1"/>
  <c r="F110" i="5"/>
  <c r="G110" i="5"/>
  <c r="H110" i="5"/>
  <c r="I110" i="5"/>
  <c r="J110" i="5"/>
  <c r="K110" i="5"/>
  <c r="L110" i="5"/>
  <c r="M110" i="5"/>
  <c r="N110" i="5"/>
  <c r="O110" i="5"/>
  <c r="D111" i="5"/>
  <c r="E111" i="5"/>
  <c r="F111" i="5"/>
  <c r="G111" i="5"/>
  <c r="H111" i="5"/>
  <c r="I111" i="5"/>
  <c r="Q111" i="5" s="1"/>
  <c r="J111" i="5"/>
  <c r="K111" i="5"/>
  <c r="L111" i="5"/>
  <c r="M111" i="5"/>
  <c r="N111" i="5"/>
  <c r="O111" i="5"/>
  <c r="Q113" i="5"/>
  <c r="D114" i="5"/>
  <c r="P114" i="5" s="1"/>
  <c r="E114" i="5"/>
  <c r="F114" i="5"/>
  <c r="G114" i="5"/>
  <c r="H114" i="5"/>
  <c r="I114" i="5"/>
  <c r="J114" i="5"/>
  <c r="K114" i="5"/>
  <c r="L114" i="5"/>
  <c r="M114" i="5"/>
  <c r="N114" i="5"/>
  <c r="O114" i="5"/>
  <c r="D115" i="5"/>
  <c r="E115" i="5"/>
  <c r="P115" i="5" s="1"/>
  <c r="F115" i="5"/>
  <c r="G115" i="5"/>
  <c r="H115" i="5"/>
  <c r="I115" i="5"/>
  <c r="J115" i="5"/>
  <c r="K115" i="5"/>
  <c r="L115" i="5"/>
  <c r="M115" i="5"/>
  <c r="N115" i="5"/>
  <c r="O115" i="5"/>
  <c r="D116" i="5"/>
  <c r="E116" i="5"/>
  <c r="F116" i="5"/>
  <c r="G116" i="5"/>
  <c r="H116" i="5"/>
  <c r="P116" i="5" s="1"/>
  <c r="S116" i="5" s="1"/>
  <c r="I116" i="5"/>
  <c r="J116" i="5"/>
  <c r="K116" i="5"/>
  <c r="L116" i="5"/>
  <c r="M116" i="5"/>
  <c r="N116" i="5"/>
  <c r="O116" i="5"/>
  <c r="D117" i="5"/>
  <c r="P117" i="5" s="1"/>
  <c r="E117" i="5"/>
  <c r="F117" i="5"/>
  <c r="G117" i="5"/>
  <c r="H117" i="5"/>
  <c r="I117" i="5"/>
  <c r="J117" i="5"/>
  <c r="K117" i="5"/>
  <c r="L117" i="5"/>
  <c r="M117" i="5"/>
  <c r="N117" i="5"/>
  <c r="O117" i="5"/>
  <c r="D118" i="5"/>
  <c r="E118" i="5"/>
  <c r="F118" i="5"/>
  <c r="G118" i="5"/>
  <c r="P118" i="5" s="1"/>
  <c r="H118" i="5"/>
  <c r="I118" i="5"/>
  <c r="J118" i="5"/>
  <c r="K118" i="5"/>
  <c r="L118" i="5"/>
  <c r="M118" i="5"/>
  <c r="N118" i="5"/>
  <c r="O118" i="5"/>
  <c r="Q120" i="5"/>
  <c r="D121" i="5"/>
  <c r="E121" i="5"/>
  <c r="P121" i="5" s="1"/>
  <c r="F121" i="5"/>
  <c r="G121" i="5"/>
  <c r="H121" i="5"/>
  <c r="I121" i="5"/>
  <c r="J121" i="5"/>
  <c r="K121" i="5"/>
  <c r="L121" i="5"/>
  <c r="M121" i="5"/>
  <c r="N121" i="5"/>
  <c r="O121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Q129" i="5"/>
  <c r="D130" i="5"/>
  <c r="Q130" i="5" s="1"/>
  <c r="E130" i="5"/>
  <c r="F130" i="5"/>
  <c r="G130" i="5"/>
  <c r="H130" i="5"/>
  <c r="I130" i="5"/>
  <c r="J130" i="5"/>
  <c r="K130" i="5"/>
  <c r="L130" i="5"/>
  <c r="M130" i="5"/>
  <c r="N130" i="5"/>
  <c r="O130" i="5"/>
  <c r="D131" i="5"/>
  <c r="E131" i="5"/>
  <c r="F131" i="5"/>
  <c r="Q131" i="5" s="1"/>
  <c r="G131" i="5"/>
  <c r="H131" i="5"/>
  <c r="I131" i="5"/>
  <c r="J131" i="5"/>
  <c r="K131" i="5"/>
  <c r="L131" i="5"/>
  <c r="M131" i="5"/>
  <c r="N131" i="5"/>
  <c r="O131" i="5"/>
  <c r="D132" i="5"/>
  <c r="E132" i="5"/>
  <c r="Q132" i="5" s="1"/>
  <c r="F132" i="5"/>
  <c r="G132" i="5"/>
  <c r="H132" i="5"/>
  <c r="I132" i="5"/>
  <c r="J132" i="5"/>
  <c r="K132" i="5"/>
  <c r="L132" i="5"/>
  <c r="M132" i="5"/>
  <c r="N132" i="5"/>
  <c r="O132" i="5"/>
  <c r="Q134" i="5"/>
  <c r="D135" i="5"/>
  <c r="P135" i="5" s="1"/>
  <c r="E135" i="5"/>
  <c r="F135" i="5"/>
  <c r="G135" i="5"/>
  <c r="H135" i="5"/>
  <c r="I135" i="5"/>
  <c r="J135" i="5"/>
  <c r="K135" i="5"/>
  <c r="L135" i="5"/>
  <c r="M135" i="5"/>
  <c r="N135" i="5"/>
  <c r="O135" i="5"/>
  <c r="D136" i="5"/>
  <c r="E136" i="5"/>
  <c r="F136" i="5"/>
  <c r="P136" i="5" s="1"/>
  <c r="G136" i="5"/>
  <c r="H136" i="5"/>
  <c r="I136" i="5"/>
  <c r="J136" i="5"/>
  <c r="K136" i="5"/>
  <c r="L136" i="5"/>
  <c r="M136" i="5"/>
  <c r="N136" i="5"/>
  <c r="O136" i="5"/>
  <c r="D137" i="5"/>
  <c r="E137" i="5"/>
  <c r="P137" i="5" s="1"/>
  <c r="F137" i="5"/>
  <c r="G137" i="5"/>
  <c r="H137" i="5"/>
  <c r="I137" i="5"/>
  <c r="J137" i="5"/>
  <c r="K137" i="5"/>
  <c r="L137" i="5"/>
  <c r="M137" i="5"/>
  <c r="N137" i="5"/>
  <c r="O137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D139" i="5"/>
  <c r="P139" i="5" s="1"/>
  <c r="E139" i="5"/>
  <c r="F139" i="5"/>
  <c r="G139" i="5"/>
  <c r="H139" i="5"/>
  <c r="I139" i="5"/>
  <c r="J139" i="5"/>
  <c r="K139" i="5"/>
  <c r="L139" i="5"/>
  <c r="M139" i="5"/>
  <c r="N139" i="5"/>
  <c r="O139" i="5"/>
  <c r="Q141" i="5"/>
  <c r="D142" i="5"/>
  <c r="E142" i="5"/>
  <c r="P142" i="5" s="1"/>
  <c r="F142" i="5"/>
  <c r="G142" i="5"/>
  <c r="H142" i="5"/>
  <c r="I142" i="5"/>
  <c r="J142" i="5"/>
  <c r="K142" i="5"/>
  <c r="L142" i="5"/>
  <c r="M142" i="5"/>
  <c r="N142" i="5"/>
  <c r="O142" i="5"/>
  <c r="Q4" i="3"/>
  <c r="Q5" i="3"/>
  <c r="Q6" i="3"/>
  <c r="Q7" i="3"/>
  <c r="Q9" i="3"/>
  <c r="Q10" i="3"/>
  <c r="Q11" i="3"/>
  <c r="Q12" i="3"/>
  <c r="Q13" i="3"/>
  <c r="Q15" i="3"/>
  <c r="Q23" i="3"/>
  <c r="Q24" i="3"/>
  <c r="R24" i="3"/>
  <c r="Q25" i="3"/>
  <c r="Q26" i="3"/>
  <c r="Q28" i="3"/>
  <c r="Q29" i="3"/>
  <c r="Q30" i="3"/>
  <c r="Q31" i="3"/>
  <c r="Q32" i="3"/>
  <c r="Q34" i="3"/>
  <c r="Q42" i="3"/>
  <c r="R43" i="3" s="1"/>
  <c r="Q43" i="3"/>
  <c r="Q44" i="3"/>
  <c r="Q45" i="3"/>
  <c r="Q47" i="3"/>
  <c r="Q48" i="3"/>
  <c r="Q49" i="3"/>
  <c r="Q50" i="3"/>
  <c r="Q51" i="3"/>
  <c r="Q53" i="3"/>
  <c r="Q60" i="3"/>
  <c r="R61" i="3" s="1"/>
  <c r="Q61" i="3"/>
  <c r="Q62" i="3"/>
  <c r="Q63" i="3"/>
  <c r="Q65" i="3"/>
  <c r="Q66" i="3"/>
  <c r="Q67" i="3"/>
  <c r="Q68" i="3"/>
  <c r="Q69" i="3"/>
  <c r="Q71" i="3"/>
  <c r="Q79" i="3"/>
  <c r="Q80" i="3"/>
  <c r="R80" i="3" s="1"/>
  <c r="Q81" i="3"/>
  <c r="Q82" i="3"/>
  <c r="Q84" i="3"/>
  <c r="Q85" i="3"/>
  <c r="Q86" i="3"/>
  <c r="Q87" i="3"/>
  <c r="S87" i="3"/>
  <c r="Q88" i="3"/>
  <c r="Q90" i="3"/>
  <c r="Q98" i="3"/>
  <c r="Q99" i="3"/>
  <c r="R99" i="3" s="1"/>
  <c r="Q100" i="3"/>
  <c r="Q101" i="3"/>
  <c r="Q103" i="3"/>
  <c r="Q104" i="3"/>
  <c r="Q105" i="3"/>
  <c r="Q106" i="3"/>
  <c r="S106" i="3"/>
  <c r="Q107" i="3"/>
  <c r="Q109" i="3"/>
  <c r="Q117" i="3"/>
  <c r="Q118" i="3"/>
  <c r="R118" i="3" s="1"/>
  <c r="Q119" i="3"/>
  <c r="Q120" i="3"/>
  <c r="Q122" i="3"/>
  <c r="Q123" i="3"/>
  <c r="Q124" i="3"/>
  <c r="Q125" i="3"/>
  <c r="S125" i="3"/>
  <c r="Q126" i="3"/>
  <c r="Q128" i="3"/>
  <c r="A2" i="2"/>
  <c r="B2" i="2"/>
  <c r="C2" i="2"/>
  <c r="D2" i="2"/>
  <c r="E2" i="2"/>
  <c r="F2" i="2"/>
  <c r="G2" i="2"/>
  <c r="H2" i="2"/>
  <c r="I2" i="2"/>
  <c r="J2" i="2"/>
  <c r="K2" i="2"/>
  <c r="L2" i="2"/>
  <c r="M2" i="2"/>
  <c r="N2" i="2"/>
  <c r="A4" i="2"/>
  <c r="C4" i="2"/>
  <c r="D4" i="2"/>
  <c r="E4" i="2"/>
  <c r="F4" i="2"/>
  <c r="G4" i="2"/>
  <c r="H4" i="2"/>
  <c r="I4" i="2"/>
  <c r="J4" i="2"/>
  <c r="K4" i="2"/>
  <c r="L4" i="2"/>
  <c r="M4" i="2"/>
  <c r="N4" i="2"/>
  <c r="A5" i="2"/>
  <c r="D5" i="2"/>
  <c r="E5" i="2"/>
  <c r="F5" i="2"/>
  <c r="G5" i="2"/>
  <c r="H5" i="2"/>
  <c r="I5" i="2"/>
  <c r="J5" i="2"/>
  <c r="K5" i="2"/>
  <c r="L5" i="2"/>
  <c r="M5" i="2"/>
  <c r="N5" i="2"/>
  <c r="A6" i="2"/>
  <c r="C6" i="2"/>
  <c r="D6" i="2"/>
  <c r="E6" i="2"/>
  <c r="F6" i="2"/>
  <c r="G6" i="2"/>
  <c r="H6" i="2"/>
  <c r="I6" i="2"/>
  <c r="J6" i="2"/>
  <c r="K6" i="2"/>
  <c r="L6" i="2"/>
  <c r="M6" i="2"/>
  <c r="N6" i="2"/>
  <c r="A7" i="2"/>
  <c r="C7" i="2"/>
  <c r="D7" i="2"/>
  <c r="E7" i="2"/>
  <c r="F7" i="2"/>
  <c r="G7" i="2"/>
  <c r="H7" i="2"/>
  <c r="I7" i="2"/>
  <c r="J7" i="2"/>
  <c r="K7" i="2"/>
  <c r="L7" i="2"/>
  <c r="M7" i="2"/>
  <c r="N7" i="2"/>
  <c r="P7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A12" i="2"/>
  <c r="C12" i="2"/>
  <c r="D12" i="2"/>
  <c r="E12" i="2"/>
  <c r="F12" i="2"/>
  <c r="G12" i="2"/>
  <c r="H12" i="2"/>
  <c r="I12" i="2"/>
  <c r="J12" i="2"/>
  <c r="K12" i="2"/>
  <c r="L12" i="2"/>
  <c r="M12" i="2"/>
  <c r="N12" i="2"/>
  <c r="A13" i="2"/>
  <c r="C13" i="2"/>
  <c r="D13" i="2"/>
  <c r="E13" i="2"/>
  <c r="F13" i="2"/>
  <c r="G13" i="2"/>
  <c r="H13" i="2"/>
  <c r="I13" i="2"/>
  <c r="J13" i="2"/>
  <c r="K13" i="2"/>
  <c r="L13" i="2"/>
  <c r="M13" i="2"/>
  <c r="N13" i="2"/>
  <c r="A14" i="2"/>
  <c r="C14" i="2"/>
  <c r="D14" i="2"/>
  <c r="E14" i="2"/>
  <c r="F14" i="2"/>
  <c r="G14" i="2"/>
  <c r="H14" i="2"/>
  <c r="I14" i="2"/>
  <c r="J14" i="2"/>
  <c r="K14" i="2"/>
  <c r="M14" i="2"/>
  <c r="N14" i="2"/>
  <c r="A15" i="2"/>
  <c r="C15" i="2"/>
  <c r="D15" i="2"/>
  <c r="E15" i="2"/>
  <c r="P15" i="2" s="1"/>
  <c r="F15" i="2"/>
  <c r="G15" i="2"/>
  <c r="H15" i="2"/>
  <c r="I15" i="2"/>
  <c r="J15" i="2"/>
  <c r="K15" i="2"/>
  <c r="L15" i="2"/>
  <c r="M15" i="2"/>
  <c r="N15" i="2"/>
  <c r="A17" i="2"/>
  <c r="A19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A21" i="2"/>
  <c r="C21" i="2"/>
  <c r="D21" i="2"/>
  <c r="P21" i="2" s="1"/>
  <c r="E21" i="2"/>
  <c r="F21" i="2"/>
  <c r="G21" i="2"/>
  <c r="H21" i="2"/>
  <c r="I21" i="2"/>
  <c r="J21" i="2"/>
  <c r="K21" i="2"/>
  <c r="L21" i="2"/>
  <c r="M21" i="2"/>
  <c r="N21" i="2"/>
  <c r="A22" i="2"/>
  <c r="C22" i="2"/>
  <c r="D22" i="2"/>
  <c r="E22" i="2"/>
  <c r="F22" i="2"/>
  <c r="P22" i="2" s="1"/>
  <c r="G22" i="2"/>
  <c r="H22" i="2"/>
  <c r="I22" i="2"/>
  <c r="J22" i="2"/>
  <c r="K22" i="2"/>
  <c r="L22" i="2"/>
  <c r="M22" i="2"/>
  <c r="N22" i="2"/>
  <c r="A23" i="2"/>
  <c r="C23" i="2"/>
  <c r="D23" i="2"/>
  <c r="P23" i="2" s="1"/>
  <c r="E23" i="2"/>
  <c r="F23" i="2"/>
  <c r="G23" i="2"/>
  <c r="H23" i="2"/>
  <c r="I23" i="2"/>
  <c r="J23" i="2"/>
  <c r="K23" i="2"/>
  <c r="L23" i="2"/>
  <c r="M23" i="2"/>
  <c r="N23" i="2"/>
  <c r="A24" i="2"/>
  <c r="C24" i="2"/>
  <c r="D24" i="2"/>
  <c r="E24" i="2"/>
  <c r="F24" i="2"/>
  <c r="P24" i="2" s="1"/>
  <c r="G24" i="2"/>
  <c r="H24" i="2"/>
  <c r="I24" i="2"/>
  <c r="J24" i="2"/>
  <c r="K24" i="2"/>
  <c r="L24" i="2"/>
  <c r="M24" i="2"/>
  <c r="N24" i="2"/>
  <c r="A27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A29" i="2"/>
  <c r="C29" i="2"/>
  <c r="D29" i="2"/>
  <c r="E29" i="2"/>
  <c r="F29" i="2"/>
  <c r="P29" i="2" s="1"/>
  <c r="G29" i="2"/>
  <c r="H29" i="2"/>
  <c r="I29" i="2"/>
  <c r="J29" i="2"/>
  <c r="K29" i="2"/>
  <c r="L29" i="2"/>
  <c r="M29" i="2"/>
  <c r="N29" i="2"/>
  <c r="A30" i="2"/>
  <c r="C30" i="2"/>
  <c r="D30" i="2"/>
  <c r="P30" i="2" s="1"/>
  <c r="E30" i="2"/>
  <c r="F30" i="2"/>
  <c r="G30" i="2"/>
  <c r="H30" i="2"/>
  <c r="I30" i="2"/>
  <c r="J30" i="2"/>
  <c r="K30" i="2"/>
  <c r="L30" i="2"/>
  <c r="M30" i="2"/>
  <c r="N30" i="2"/>
  <c r="A31" i="2"/>
  <c r="C31" i="2"/>
  <c r="D31" i="2"/>
  <c r="E31" i="2"/>
  <c r="F31" i="2"/>
  <c r="P31" i="2" s="1"/>
  <c r="G31" i="2"/>
  <c r="H31" i="2"/>
  <c r="I31" i="2"/>
  <c r="J31" i="2"/>
  <c r="K31" i="2"/>
  <c r="L31" i="2"/>
  <c r="M31" i="2"/>
  <c r="N31" i="2"/>
  <c r="A32" i="2"/>
  <c r="C32" i="2"/>
  <c r="D32" i="2"/>
  <c r="P32" i="2" s="1"/>
  <c r="E32" i="2"/>
  <c r="F32" i="2"/>
  <c r="G32" i="2"/>
  <c r="H32" i="2"/>
  <c r="I32" i="2"/>
  <c r="J32" i="2"/>
  <c r="K32" i="2"/>
  <c r="L32" i="2"/>
  <c r="M32" i="2"/>
  <c r="N32" i="2"/>
  <c r="A35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A37" i="2"/>
  <c r="C37" i="2"/>
  <c r="D37" i="2"/>
  <c r="P37" i="2" s="1"/>
  <c r="E37" i="2"/>
  <c r="F37" i="2"/>
  <c r="G37" i="2"/>
  <c r="H37" i="2"/>
  <c r="I37" i="2"/>
  <c r="J37" i="2"/>
  <c r="K37" i="2"/>
  <c r="L37" i="2"/>
  <c r="M37" i="2"/>
  <c r="N37" i="2"/>
  <c r="A38" i="2"/>
  <c r="C38" i="2"/>
  <c r="D38" i="2"/>
  <c r="E38" i="2"/>
  <c r="F38" i="2"/>
  <c r="G38" i="2"/>
  <c r="H38" i="2"/>
  <c r="I38" i="2"/>
  <c r="J38" i="2"/>
  <c r="K38" i="2"/>
  <c r="L38" i="2"/>
  <c r="M38" i="2"/>
  <c r="N38" i="2"/>
  <c r="P38" i="2"/>
  <c r="A39" i="2"/>
  <c r="C39" i="2"/>
  <c r="D39" i="2"/>
  <c r="P39" i="2" s="1"/>
  <c r="E39" i="2"/>
  <c r="F39" i="2"/>
  <c r="G39" i="2"/>
  <c r="H39" i="2"/>
  <c r="I39" i="2"/>
  <c r="J39" i="2"/>
  <c r="K39" i="2"/>
  <c r="L39" i="2"/>
  <c r="M39" i="2"/>
  <c r="N39" i="2"/>
  <c r="A40" i="2"/>
  <c r="C40" i="2"/>
  <c r="D40" i="2"/>
  <c r="E40" i="2"/>
  <c r="F40" i="2"/>
  <c r="G40" i="2"/>
  <c r="H40" i="2"/>
  <c r="I40" i="2"/>
  <c r="J40" i="2"/>
  <c r="K40" i="2"/>
  <c r="L40" i="2"/>
  <c r="M40" i="2"/>
  <c r="N40" i="2"/>
  <c r="P40" i="2"/>
  <c r="A43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A45" i="2"/>
  <c r="C45" i="2"/>
  <c r="D45" i="2"/>
  <c r="E45" i="2"/>
  <c r="F45" i="2"/>
  <c r="G45" i="2"/>
  <c r="H45" i="2"/>
  <c r="I45" i="2"/>
  <c r="J45" i="2"/>
  <c r="K45" i="2"/>
  <c r="L45" i="2"/>
  <c r="M45" i="2"/>
  <c r="N45" i="2"/>
  <c r="P45" i="2"/>
  <c r="A46" i="2"/>
  <c r="C46" i="2"/>
  <c r="D46" i="2"/>
  <c r="P46" i="2" s="1"/>
  <c r="E46" i="2"/>
  <c r="F46" i="2"/>
  <c r="G46" i="2"/>
  <c r="H46" i="2"/>
  <c r="I46" i="2"/>
  <c r="J46" i="2"/>
  <c r="K46" i="2"/>
  <c r="L46" i="2"/>
  <c r="M46" i="2"/>
  <c r="N46" i="2"/>
  <c r="A47" i="2"/>
  <c r="C47" i="2"/>
  <c r="D47" i="2"/>
  <c r="E47" i="2"/>
  <c r="F47" i="2"/>
  <c r="G47" i="2"/>
  <c r="H47" i="2"/>
  <c r="I47" i="2"/>
  <c r="J47" i="2"/>
  <c r="K47" i="2"/>
  <c r="L47" i="2"/>
  <c r="M47" i="2"/>
  <c r="N47" i="2"/>
  <c r="P47" i="2"/>
  <c r="A48" i="2"/>
  <c r="C48" i="2"/>
  <c r="D48" i="2"/>
  <c r="P48" i="2" s="1"/>
  <c r="E48" i="2"/>
  <c r="F48" i="2"/>
  <c r="G48" i="2"/>
  <c r="H48" i="2"/>
  <c r="I48" i="2"/>
  <c r="J48" i="2"/>
  <c r="K48" i="2"/>
  <c r="L48" i="2"/>
  <c r="M48" i="2"/>
  <c r="N48" i="2"/>
  <c r="A51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A53" i="2"/>
  <c r="C53" i="2"/>
  <c r="D53" i="2"/>
  <c r="P53" i="2" s="1"/>
  <c r="E53" i="2"/>
  <c r="F53" i="2"/>
  <c r="G53" i="2"/>
  <c r="H53" i="2"/>
  <c r="I53" i="2"/>
  <c r="J53" i="2"/>
  <c r="K53" i="2"/>
  <c r="L53" i="2"/>
  <c r="M53" i="2"/>
  <c r="N53" i="2"/>
  <c r="A54" i="2"/>
  <c r="C54" i="2"/>
  <c r="D54" i="2"/>
  <c r="E54" i="2"/>
  <c r="F54" i="2"/>
  <c r="G54" i="2"/>
  <c r="H54" i="2"/>
  <c r="I54" i="2"/>
  <c r="J54" i="2"/>
  <c r="K54" i="2"/>
  <c r="L54" i="2"/>
  <c r="M54" i="2"/>
  <c r="N54" i="2"/>
  <c r="P54" i="2"/>
  <c r="A55" i="2"/>
  <c r="C55" i="2"/>
  <c r="D55" i="2"/>
  <c r="P55" i="2" s="1"/>
  <c r="E55" i="2"/>
  <c r="F55" i="2"/>
  <c r="G55" i="2"/>
  <c r="H55" i="2"/>
  <c r="I55" i="2"/>
  <c r="J55" i="2"/>
  <c r="K55" i="2"/>
  <c r="L55" i="2"/>
  <c r="M55" i="2"/>
  <c r="N55" i="2"/>
  <c r="A56" i="2"/>
  <c r="C56" i="2"/>
  <c r="D56" i="2"/>
  <c r="E56" i="2"/>
  <c r="F56" i="2"/>
  <c r="G56" i="2"/>
  <c r="P56" i="2" s="1"/>
  <c r="H56" i="2"/>
  <c r="I56" i="2"/>
  <c r="J56" i="2"/>
  <c r="K56" i="2"/>
  <c r="L56" i="2"/>
  <c r="M56" i="2"/>
  <c r="N56" i="2"/>
  <c r="Q4" i="1"/>
  <c r="Q6" i="1"/>
  <c r="Q7" i="1"/>
  <c r="Q18" i="1"/>
  <c r="R19" i="1"/>
  <c r="Q20" i="1"/>
  <c r="Q21" i="1"/>
  <c r="Q30" i="1"/>
  <c r="R31" i="1"/>
  <c r="Q32" i="1"/>
  <c r="Q33" i="1"/>
  <c r="Q38" i="1"/>
  <c r="R39" i="1"/>
  <c r="Q40" i="1"/>
  <c r="Q41" i="1"/>
  <c r="Q46" i="1"/>
  <c r="R47" i="1"/>
  <c r="Q48" i="1"/>
  <c r="Q49" i="1"/>
  <c r="Q54" i="1"/>
  <c r="R55" i="1"/>
  <c r="Q56" i="1"/>
  <c r="Q57" i="1"/>
  <c r="Q62" i="1"/>
  <c r="R63" i="1"/>
  <c r="Q64" i="1"/>
  <c r="Q65" i="1"/>
  <c r="R71" i="7"/>
  <c r="S144" i="3"/>
  <c r="R137" i="3"/>
  <c r="P159" i="5"/>
  <c r="P65" i="8"/>
  <c r="P64" i="8"/>
  <c r="P63" i="8"/>
  <c r="P163" i="5"/>
  <c r="P158" i="5"/>
  <c r="P156" i="5"/>
  <c r="Q152" i="5"/>
  <c r="Q150" i="5"/>
  <c r="R83" i="7"/>
  <c r="R142" i="5" l="1"/>
  <c r="R121" i="5"/>
  <c r="S109" i="5"/>
  <c r="S88" i="5"/>
  <c r="R100" i="5"/>
  <c r="S67" i="5"/>
  <c r="R79" i="5"/>
  <c r="R56" i="5"/>
</calcChain>
</file>

<file path=xl/sharedStrings.xml><?xml version="1.0" encoding="utf-8"?>
<sst xmlns="http://schemas.openxmlformats.org/spreadsheetml/2006/main" count="1214" uniqueCount="142">
  <si>
    <t>Gas</t>
  </si>
  <si>
    <t>Hauptzähler Internat</t>
  </si>
  <si>
    <t>alte Aula</t>
  </si>
  <si>
    <t>Lichtenstern 13</t>
  </si>
  <si>
    <t>Schulleiterhaus*</t>
  </si>
  <si>
    <t>* wird direkt abgerechnet</t>
  </si>
  <si>
    <t>Jan</t>
  </si>
  <si>
    <t>Feb</t>
  </si>
  <si>
    <t>Mrz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</si>
  <si>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</si>
  <si>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</si>
  <si>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</si>
  <si>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</si>
  <si>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</si>
  <si>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</si>
  <si>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</si>
  <si>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</si>
  <si>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</si>
  <si>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9.1.</t>
  </si>
  <si>
    <t>Zwischenzähler Küche</t>
  </si>
  <si>
    <t>1.2.</t>
  </si>
  <si>
    <t>6.3.</t>
  </si>
  <si>
    <t>4.4.</t>
  </si>
  <si>
    <t>3.5.</t>
  </si>
  <si>
    <t>1.6.</t>
  </si>
  <si>
    <t>3.7.</t>
  </si>
  <si>
    <t>7.8.</t>
  </si>
  <si>
    <t>1.9.</t>
  </si>
  <si>
    <t>4.10.</t>
  </si>
  <si>
    <t>1.12.</t>
  </si>
  <si>
    <t>22.12.</t>
  </si>
  <si>
    <t>Gesamtverbrauch</t>
  </si>
  <si>
    <t>**</t>
  </si>
  <si>
    <t>** Zählerwechsel / neue Heizung</t>
  </si>
  <si>
    <t>(Küche)</t>
  </si>
  <si>
    <t xml:space="preserve"> </t>
  </si>
  <si>
    <t>2.11.</t>
  </si>
  <si>
    <t xml:space="preserve">  </t>
  </si>
  <si>
    <t>10.1.</t>
  </si>
  <si>
    <t>1.3.</t>
  </si>
  <si>
    <t>1.4.</t>
  </si>
  <si>
    <t>2.5.</t>
  </si>
  <si>
    <t>1.7.</t>
  </si>
  <si>
    <t>28.7.</t>
  </si>
  <si>
    <t>5.10.</t>
  </si>
  <si>
    <t>7.11.</t>
  </si>
  <si>
    <t>(Küche ab Feb)</t>
  </si>
  <si>
    <t>Strom</t>
  </si>
  <si>
    <t>Internat</t>
  </si>
  <si>
    <t>L13 Internat</t>
  </si>
  <si>
    <t>L13 Gemeinschaft</t>
  </si>
  <si>
    <t>* Unterzähler vom Internat</t>
  </si>
  <si>
    <t>Schule**</t>
  </si>
  <si>
    <t>Sporthalle**</t>
  </si>
  <si>
    <t>Sporthälle UZ P4</t>
  </si>
  <si>
    <t>UZ P002</t>
  </si>
  <si>
    <t>UZ P003</t>
  </si>
  <si>
    <t>UZ P004</t>
  </si>
  <si>
    <t>UZ P9</t>
  </si>
  <si>
    <t>UZ P10</t>
  </si>
  <si>
    <t>UZ Aula *</t>
  </si>
  <si>
    <t>Verbrauch</t>
  </si>
  <si>
    <t>pro Messstelle</t>
  </si>
  <si>
    <t>ab Mai</t>
  </si>
  <si>
    <t>Wasser</t>
  </si>
  <si>
    <t>Zähler Schloss</t>
  </si>
  <si>
    <t>davon Sporthalle</t>
  </si>
  <si>
    <t>Aula</t>
  </si>
  <si>
    <t>(ab April)</t>
  </si>
  <si>
    <t>m³</t>
  </si>
  <si>
    <t>kWh</t>
  </si>
  <si>
    <t>** kann nicht abgelesen werden - siehe Abrechnung</t>
  </si>
  <si>
    <t>Verbrauch direkt eingetragen</t>
  </si>
  <si>
    <t>nicht abgelesene Werte</t>
  </si>
  <si>
    <t>Wert stammt aus Abrechnung</t>
  </si>
  <si>
    <t>am 5.11. wurde der Zähler erneuert</t>
  </si>
  <si>
    <t>7.1.</t>
  </si>
  <si>
    <t>3.4.</t>
  </si>
  <si>
    <t>5.6.</t>
  </si>
  <si>
    <t>2.7.</t>
  </si>
  <si>
    <t>13.8.</t>
  </si>
  <si>
    <t>3.9.</t>
  </si>
  <si>
    <t>29.9.</t>
  </si>
  <si>
    <t>6.11.</t>
  </si>
  <si>
    <t>3.12.</t>
  </si>
  <si>
    <t>Verbrauch Gas</t>
  </si>
  <si>
    <t>22.12</t>
  </si>
  <si>
    <t>4.6.</t>
  </si>
  <si>
    <t>gesamt</t>
  </si>
  <si>
    <t>keine Ablesung möglich</t>
  </si>
  <si>
    <t>NT</t>
  </si>
  <si>
    <t>HT</t>
  </si>
  <si>
    <t>UZ P002***</t>
  </si>
  <si>
    <t>UZ P003***</t>
  </si>
  <si>
    <t>UZ P004***</t>
  </si>
  <si>
    <t>UZ P9***</t>
  </si>
  <si>
    <t>UZ P10***</t>
  </si>
  <si>
    <t>Sporthälle UZ P4***</t>
  </si>
  <si>
    <t>** - lassen sich nicht ablesen</t>
  </si>
  <si>
    <t>*** - Unterzähler</t>
  </si>
  <si>
    <t>KWH</t>
  </si>
  <si>
    <t>3.3.</t>
  </si>
  <si>
    <t>30.4.</t>
  </si>
  <si>
    <t>2.6.</t>
  </si>
  <si>
    <t>4.8.</t>
  </si>
  <si>
    <t>2.9.</t>
  </si>
  <si>
    <t>1.10.</t>
  </si>
  <si>
    <t>3.11.</t>
  </si>
  <si>
    <t>2.12.</t>
  </si>
  <si>
    <t>02.10.2009</t>
  </si>
  <si>
    <t>23.12.2009</t>
  </si>
  <si>
    <t>20.20.2009</t>
  </si>
  <si>
    <t>02.03.2009</t>
  </si>
  <si>
    <t>01.04.2009</t>
  </si>
  <si>
    <t>30.04.2009</t>
  </si>
  <si>
    <t>02.06.2009</t>
  </si>
  <si>
    <t>02.07.2009</t>
  </si>
  <si>
    <t>30.07.2009</t>
  </si>
  <si>
    <t>01.09.2009</t>
  </si>
  <si>
    <t>02.11.2009</t>
  </si>
  <si>
    <t>01.12.2009</t>
  </si>
  <si>
    <t>07.01.2008</t>
  </si>
  <si>
    <t>01.02.2008</t>
  </si>
  <si>
    <t>03.03.2008</t>
  </si>
  <si>
    <t>01.04.2008</t>
  </si>
  <si>
    <t>30.04.2008</t>
  </si>
  <si>
    <t>02.06.2008</t>
  </si>
  <si>
    <t>01.07.2008</t>
  </si>
  <si>
    <t>04.08.2008</t>
  </si>
  <si>
    <t>02.09.2008</t>
  </si>
  <si>
    <t>01.10.2008</t>
  </si>
  <si>
    <t>03.11.2008</t>
  </si>
  <si>
    <t>02.12.2008</t>
  </si>
  <si>
    <t>23.12.2008</t>
  </si>
  <si>
    <t>Neuer Zähler?!</t>
  </si>
  <si>
    <t>Container</t>
  </si>
  <si>
    <t>1.10.10</t>
  </si>
  <si>
    <t>01.02.2010</t>
  </si>
  <si>
    <t>04.10.2011</t>
  </si>
  <si>
    <t>04.10.2012</t>
  </si>
  <si>
    <t>Sporthalle UZ P4***</t>
  </si>
  <si>
    <t>Sporthalle UZ 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</si>
</sst>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17" fontId="0" fillId="0" borderId="0" xfId="0" applyNumberFormat="1"/>
    <xf numFmtId="4" fontId="0" fillId="0" borderId="0" xfId="0" applyNumberFormat="1"/>
    <xf numFmtId="4" fontId="0" fillId="0" borderId="0" xfId="0" applyNumberFormat="1" applyFill="1"/>
    <xf numFmtId="4" fontId="0" fillId="2" borderId="0" xfId="0" applyNumberFormat="1" applyFill="1"/>
    <xf numFmtId="0" fontId="4" fillId="0" borderId="0" xfId="0" applyFont="1"/>
    <xf numFmtId="0" fontId="0" fillId="3" borderId="0" xfId="0" applyFill="1"/>
    <xf numFmtId="0" fontId="0" fillId="0" borderId="0" xfId="0" applyFill="1"/>
    <xf numFmtId="0" fontId="0" fillId="2" borderId="0" xfId="0" applyFill="1"/>
    <xf numFmtId="4" fontId="0" fillId="4" borderId="0" xfId="0" applyNumberFormat="1" applyFill="1"/>
    <xf numFmtId="0" fontId="0" fillId="4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  <xf numFmtId="4" fontId="0" fillId="5" borderId="0" xfId="0" applyNumberFormat="1" applyFill="1"/>
    <xf numFmtId="0" fontId="0" fillId="5" borderId="0" xfId="0" applyFill="1"/>
    <xf numFmtId="49" fontId="0" fillId="0" borderId="0" xfId="0" applyNumberFormat="1"/>
    <xf numFmtId="0" fontId="4" fillId="0" borderId="0" xfId="0" applyFont="1" applyFill="1"/>
    <xf numFmtId="4" fontId="5" fillId="0" borderId="0" xfId="0" applyNumberFormat="1" applyFont="1"/>
    <xf numFmtId="0" fontId="5" fillId="0" borderId="0" xfId="0" applyFont="1" applyAlignment="1">
      <alignment horizontal="center"/>
    </xf>
    <xf numFmtId="17" fontId="5" fillId="0" borderId="0" xfId="0" applyNumberFormat="1" applyFont="1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/>
    <xf numFmtId="17" fontId="5" fillId="0" borderId="0" xfId="0" applyNumberFormat="1" applyFont="1" applyAlignment="1"/>
    <xf numFmtId="14" fontId="5" fillId="0" borderId="0" xfId="0" applyNumberFormat="1" applyFont="1" applyAlignment="1"/>
    <xf numFmtId="16" fontId="5" fillId="0" borderId="0" xfId="0" applyNumberFormat="1" applyFont="1" applyAlignment="1">
      <alignment horizontal="left"/>
    </xf>
    <xf numFmtId="0" fontId="1" fillId="6" borderId="0" xfId="0" applyFont="1" applyFill="1"/>
    <xf numFmtId="0" fontId="1" fillId="0" borderId="0" xfId="0" applyFont="1" applyFill="1"/>
    <xf numFmtId="0" fontId="0" fillId="6" borderId="0" xfId="0" applyFill="1"/>
    <xf numFmtId="49" fontId="5" fillId="0" borderId="0" xfId="0" applyNumberFormat="1" applyFont="1"/>
    <xf numFmtId="49" fontId="5" fillId="0" borderId="0" xfId="0" applyNumberFormat="1" applyFont="1" applyAlignment="1">
      <alignment horizontal="right"/>
    </xf>
    <xf numFmtId="0" fontId="0" fillId="0" borderId="0" xfId="0" applyFont="1" applyFill="1"/>
    <xf numFmtId="0" fontId="0" fillId="7" borderId="0" xfId="0" applyFill="1"/>
    <xf numFmtId="0" fontId="0" fillId="8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chartsheet" Target="chartsheets/sheet5.xml"/><Relationship Id="rId5" Type="http://schemas.openxmlformats.org/officeDocument/2006/relationships/worksheet" Target="worksheets/sheet3.xml"/><Relationship Id="rId15" Type="http://schemas.openxmlformats.org/officeDocument/2006/relationships/calcChain" Target="calcChain.xml"/><Relationship Id="rId10" Type="http://schemas.openxmlformats.org/officeDocument/2006/relationships/worksheet" Target="worksheets/sheet6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5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Gasverbrauch</a:t>
            </a:r>
          </a:p>
        </c:rich>
      </c:tx>
      <c:layout>
        <c:manualLayout>
          <c:xMode val="edge"/>
          <c:yMode val="edge"/>
          <c:x val="0.44062501979147806"/>
          <c:y val="2.02019613359236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333333333333329E-2"/>
          <c:y val="0.12457912457912458"/>
          <c:w val="0.90625"/>
          <c:h val="0.61952861952861948"/>
        </c:manualLayout>
      </c:layout>
      <c:lineChart>
        <c:grouping val="standard"/>
        <c:varyColors val="0"/>
        <c:ser>
          <c:idx val="3"/>
          <c:order val="0"/>
          <c:tx>
            <c:v>2008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'Verbrauch Gas'!$C$43:$N$43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Mrz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'Verbrauch Gas'!$C$29:$N$29</c:f>
              <c:numCache>
                <c:formatCode>#,##0.00</c:formatCode>
                <c:ptCount val="12"/>
                <c:pt idx="0">
                  <c:v>7977.1000000000931</c:v>
                </c:pt>
                <c:pt idx="1">
                  <c:v>7994.1999999997206</c:v>
                </c:pt>
                <c:pt idx="2">
                  <c:v>6075</c:v>
                </c:pt>
                <c:pt idx="3">
                  <c:v>5405.8999999999069</c:v>
                </c:pt>
                <c:pt idx="4">
                  <c:v>2013.4000000003725</c:v>
                </c:pt>
                <c:pt idx="5">
                  <c:v>1570.2999999998137</c:v>
                </c:pt>
                <c:pt idx="6">
                  <c:v>1543.8999999999069</c:v>
                </c:pt>
                <c:pt idx="7">
                  <c:v>1029.8000000002794</c:v>
                </c:pt>
                <c:pt idx="8">
                  <c:v>2892.5999999996275</c:v>
                </c:pt>
                <c:pt idx="9">
                  <c:v>4597.1000000000931</c:v>
                </c:pt>
                <c:pt idx="10">
                  <c:v>7716.5</c:v>
                </c:pt>
                <c:pt idx="11">
                  <c:v>6835.8999999999069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3F-4607-8B8F-35EDF6A558C4}"/>
            </c:ext>
          </c:extLst>
        </c:ser>
        <c:ser>
          <c:idx val="4"/>
          <c:order val="1"/>
          <c:tx>
            <c:v>2009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'Verbrauch Gas'!$C$43:$N$43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Mrz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'Verbrauch Gas'!$C$37:$N$37</c:f>
              <c:numCache>
                <c:formatCode>#,##0.00</c:formatCode>
                <c:ptCount val="12"/>
                <c:pt idx="0">
                  <c:v>15094.100000000093</c:v>
                </c:pt>
                <c:pt idx="1">
                  <c:v>9173.5</c:v>
                </c:pt>
                <c:pt idx="2">
                  <c:v>7840.6000000000931</c:v>
                </c:pt>
                <c:pt idx="3">
                  <c:v>2831.2000000001863</c:v>
                </c:pt>
                <c:pt idx="4">
                  <c:v>2327.1999999997206</c:v>
                </c:pt>
                <c:pt idx="5">
                  <c:v>1868.6000000000931</c:v>
                </c:pt>
                <c:pt idx="6">
                  <c:v>1437.3999999999069</c:v>
                </c:pt>
                <c:pt idx="7">
                  <c:v>1443.5</c:v>
                </c:pt>
                <c:pt idx="8">
                  <c:v>2185.3999999999069</c:v>
                </c:pt>
                <c:pt idx="9">
                  <c:v>4828.7000000001863</c:v>
                </c:pt>
                <c:pt idx="10">
                  <c:v>6348.1000000000931</c:v>
                </c:pt>
                <c:pt idx="11">
                  <c:v>7738.8999999999069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3F-4607-8B8F-35EDF6A558C4}"/>
            </c:ext>
          </c:extLst>
        </c:ser>
        <c:ser>
          <c:idx val="5"/>
          <c:order val="2"/>
          <c:tx>
            <c:v>2010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'Verbrauch Gas'!$C$43:$N$43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Mrz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'Verbrauch Gas'!$C$45:$N$45</c:f>
              <c:numCache>
                <c:formatCode>#,##0.00</c:formatCode>
                <c:ptCount val="12"/>
                <c:pt idx="0">
                  <c:v>15240.399999999907</c:v>
                </c:pt>
                <c:pt idx="1">
                  <c:v>9408.3000000002794</c:v>
                </c:pt>
                <c:pt idx="2">
                  <c:v>7307.6999999997206</c:v>
                </c:pt>
                <c:pt idx="3">
                  <c:v>4406.2000000001863</c:v>
                </c:pt>
                <c:pt idx="4">
                  <c:v>2646.3999999999069</c:v>
                </c:pt>
                <c:pt idx="5">
                  <c:v>2493.2999999998137</c:v>
                </c:pt>
                <c:pt idx="6">
                  <c:v>1513.5</c:v>
                </c:pt>
                <c:pt idx="7">
                  <c:v>1551.2000000001863</c:v>
                </c:pt>
                <c:pt idx="8">
                  <c:v>3202.2999999998137</c:v>
                </c:pt>
                <c:pt idx="9">
                  <c:v>6177.9000000003725</c:v>
                </c:pt>
                <c:pt idx="10">
                  <c:v>7452.5</c:v>
                </c:pt>
                <c:pt idx="11">
                  <c:v>12080.599999999627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3F-4607-8B8F-35EDF6A55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97087"/>
        <c:axId val="1"/>
      </c:lineChart>
      <c:catAx>
        <c:axId val="123897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238970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dTable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Gasverbrauch</a:t>
            </a:r>
          </a:p>
        </c:rich>
      </c:tx>
      <c:layout>
        <c:manualLayout>
          <c:xMode val="edge"/>
          <c:yMode val="edge"/>
          <c:x val="0.44062499999999999"/>
          <c:y val="2.02020202020202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04166666666666E-2"/>
          <c:y val="0.12457912457912458"/>
          <c:w val="0.9135416666666667"/>
          <c:h val="0.61952861952861948"/>
        </c:manualLayout>
      </c:layout>
      <c:lineChart>
        <c:grouping val="standard"/>
        <c:varyColors val="0"/>
        <c:ser>
          <c:idx val="2"/>
          <c:order val="0"/>
          <c:tx>
            <c:v>2007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'Verbrauch Gas'!$C$43:$N$43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Mrz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'Verbrauch Gas'!$C$24:$N$24</c:f>
              <c:numCache>
                <c:formatCode>#,##0.00</c:formatCode>
                <c:ptCount val="12"/>
                <c:pt idx="0">
                  <c:v>1150.5449999999983</c:v>
                </c:pt>
                <c:pt idx="1">
                  <c:v>798.97000000000116</c:v>
                </c:pt>
                <c:pt idx="2">
                  <c:v>774.40999999999985</c:v>
                </c:pt>
                <c:pt idx="3">
                  <c:v>281.58000000000175</c:v>
                </c:pt>
                <c:pt idx="4">
                  <c:v>270.20999999999913</c:v>
                </c:pt>
                <c:pt idx="5">
                  <c:v>170.88000000000102</c:v>
                </c:pt>
                <c:pt idx="6">
                  <c:v>232.63999999999942</c:v>
                </c:pt>
                <c:pt idx="7">
                  <c:v>113.64999999999782</c:v>
                </c:pt>
                <c:pt idx="8">
                  <c:v>292.35000000000218</c:v>
                </c:pt>
                <c:pt idx="9">
                  <c:v>689.04000000000087</c:v>
                </c:pt>
                <c:pt idx="10">
                  <c:v>921.84999999999854</c:v>
                </c:pt>
                <c:pt idx="11">
                  <c:v>1300.5800000000017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C-4615-BD51-79DCBD3688E1}"/>
            </c:ext>
          </c:extLst>
        </c:ser>
        <c:ser>
          <c:idx val="3"/>
          <c:order val="1"/>
          <c:tx>
            <c:v>2008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'Verbrauch Gas'!$C$43:$N$43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Mrz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'Verbrauch Gas'!$C$32:$N$32</c:f>
              <c:numCache>
                <c:formatCode>#,##0.00</c:formatCode>
                <c:ptCount val="12"/>
                <c:pt idx="0">
                  <c:v>871.16999999999825</c:v>
                </c:pt>
                <c:pt idx="1">
                  <c:v>916.86000000000058</c:v>
                </c:pt>
                <c:pt idx="2">
                  <c:v>658.07999999999811</c:v>
                </c:pt>
                <c:pt idx="3">
                  <c:v>698.29000000000087</c:v>
                </c:pt>
                <c:pt idx="4">
                  <c:v>196.15000000000146</c:v>
                </c:pt>
                <c:pt idx="5">
                  <c:v>116.68000000000029</c:v>
                </c:pt>
                <c:pt idx="6">
                  <c:v>111.18000000000029</c:v>
                </c:pt>
                <c:pt idx="7">
                  <c:v>83.559999999997672</c:v>
                </c:pt>
                <c:pt idx="8">
                  <c:v>320.44000000000233</c:v>
                </c:pt>
                <c:pt idx="9">
                  <c:v>500.52999999999884</c:v>
                </c:pt>
                <c:pt idx="10">
                  <c:v>734.93000000000029</c:v>
                </c:pt>
                <c:pt idx="11">
                  <c:v>660.27000000000044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8C-4615-BD51-79DCBD3688E1}"/>
            </c:ext>
          </c:extLst>
        </c:ser>
        <c:ser>
          <c:idx val="4"/>
          <c:order val="2"/>
          <c:tx>
            <c:v>2009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'Verbrauch Gas'!$C$43:$N$43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Mrz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'Verbrauch Gas'!$C$40:$N$40</c:f>
              <c:numCache>
                <c:formatCode>#,##0.00</c:formatCode>
                <c:ptCount val="12"/>
                <c:pt idx="0">
                  <c:v>1486.989999999998</c:v>
                </c:pt>
                <c:pt idx="1">
                  <c:v>920.54000000000087</c:v>
                </c:pt>
                <c:pt idx="2">
                  <c:v>858.62000000000262</c:v>
                </c:pt>
                <c:pt idx="3">
                  <c:v>332.5</c:v>
                </c:pt>
                <c:pt idx="4">
                  <c:v>291.24699999999575</c:v>
                </c:pt>
                <c:pt idx="5">
                  <c:v>219.40699999999924</c:v>
                </c:pt>
                <c:pt idx="6">
                  <c:v>175.18600000000151</c:v>
                </c:pt>
                <c:pt idx="7">
                  <c:v>102.80000000000291</c:v>
                </c:pt>
                <c:pt idx="8">
                  <c:v>245.1820000000007</c:v>
                </c:pt>
                <c:pt idx="9">
                  <c:v>566.3379999999961</c:v>
                </c:pt>
                <c:pt idx="10">
                  <c:v>780.56999999999971</c:v>
                </c:pt>
                <c:pt idx="11">
                  <c:v>818.39500000000407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8C-4615-BD51-79DCBD3688E1}"/>
            </c:ext>
          </c:extLst>
        </c:ser>
        <c:ser>
          <c:idx val="5"/>
          <c:order val="3"/>
          <c:tx>
            <c:v>2010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'Verbrauch Gas'!$C$43:$N$43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Mrz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'Verbrauch Gas'!$C$48:$N$48</c:f>
              <c:numCache>
                <c:formatCode>#,##0.00</c:formatCode>
                <c:ptCount val="12"/>
                <c:pt idx="0">
                  <c:v>1507.114999999998</c:v>
                </c:pt>
                <c:pt idx="1">
                  <c:v>1021.5400000000009</c:v>
                </c:pt>
                <c:pt idx="2">
                  <c:v>819.47999999999593</c:v>
                </c:pt>
                <c:pt idx="3">
                  <c:v>550.95000000000437</c:v>
                </c:pt>
                <c:pt idx="4">
                  <c:v>339.34999999999854</c:v>
                </c:pt>
                <c:pt idx="5">
                  <c:v>293.62999999999738</c:v>
                </c:pt>
                <c:pt idx="6">
                  <c:v>128.30000000000291</c:v>
                </c:pt>
                <c:pt idx="7">
                  <c:v>126.52999999999884</c:v>
                </c:pt>
                <c:pt idx="8">
                  <c:v>220.23999999999796</c:v>
                </c:pt>
                <c:pt idx="9">
                  <c:v>340.79000000000087</c:v>
                </c:pt>
                <c:pt idx="10">
                  <c:v>350.38000000000466</c:v>
                </c:pt>
                <c:pt idx="11">
                  <c:v>609.43000000000029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8C-4615-BD51-79DCBD3688E1}"/>
            </c:ext>
          </c:extLst>
        </c:ser>
        <c:ser>
          <c:idx val="0"/>
          <c:order val="4"/>
          <c:tx>
            <c:v>2011</c:v>
          </c:tx>
          <c:val>
            <c:numRef>
              <c:f>'Verbrauch Gas'!$C$56:$N$56</c:f>
              <c:numCache>
                <c:formatCode>#,##0.00</c:formatCode>
                <c:ptCount val="12"/>
                <c:pt idx="0">
                  <c:v>559.36999999999534</c:v>
                </c:pt>
                <c:pt idx="1">
                  <c:v>434.90400000000227</c:v>
                </c:pt>
                <c:pt idx="2">
                  <c:v>399.22600000000239</c:v>
                </c:pt>
                <c:pt idx="3">
                  <c:v>202.93000000000029</c:v>
                </c:pt>
                <c:pt idx="4">
                  <c:v>139.23499999999331</c:v>
                </c:pt>
                <c:pt idx="5">
                  <c:v>103.72200000000157</c:v>
                </c:pt>
                <c:pt idx="6">
                  <c:v>107.23500000000058</c:v>
                </c:pt>
                <c:pt idx="7">
                  <c:v>79.198000000003958</c:v>
                </c:pt>
                <c:pt idx="8">
                  <c:v>111.62999999999738</c:v>
                </c:pt>
                <c:pt idx="9">
                  <c:v>223.06999999999971</c:v>
                </c:pt>
                <c:pt idx="10">
                  <c:v>325.60899999999674</c:v>
                </c:pt>
                <c:pt idx="11">
                  <c:v>372.89100000000326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8C-4615-BD51-79DCBD368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909567"/>
        <c:axId val="1"/>
      </c:lineChart>
      <c:catAx>
        <c:axId val="1239095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239095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</c:dTable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Verbrauch Strom</a:t>
            </a:r>
          </a:p>
        </c:rich>
      </c:tx>
      <c:layout>
        <c:manualLayout>
          <c:xMode val="edge"/>
          <c:yMode val="edge"/>
          <c:x val="0.42916666666666664"/>
          <c:y val="2.02020202020202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999999999999997E-2"/>
          <c:y val="0.12457912457912458"/>
          <c:w val="0.76979166666666665"/>
          <c:h val="0.80639730639730645"/>
        </c:manualLayout>
      </c:layout>
      <c:lineChart>
        <c:grouping val="standard"/>
        <c:varyColors val="0"/>
        <c:ser>
          <c:idx val="0"/>
          <c:order val="0"/>
          <c:tx>
            <c:v>Internat 2006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'Verbrauch Strom'!$D$22:$O$22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Mrz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'Verbrauch Strom'!$D$24:$O$24</c:f>
              <c:numCache>
                <c:formatCode>#,##0.00</c:formatCode>
                <c:ptCount val="12"/>
                <c:pt idx="0">
                  <c:v>3129.5999999999913</c:v>
                </c:pt>
                <c:pt idx="1">
                  <c:v>4082.1000000000058</c:v>
                </c:pt>
                <c:pt idx="2">
                  <c:v>3270.3999999999942</c:v>
                </c:pt>
                <c:pt idx="3">
                  <c:v>2653.5</c:v>
                </c:pt>
                <c:pt idx="4">
                  <c:v>2168.5</c:v>
                </c:pt>
                <c:pt idx="5">
                  <c:v>2710.5</c:v>
                </c:pt>
                <c:pt idx="6">
                  <c:v>2257.5</c:v>
                </c:pt>
                <c:pt idx="7">
                  <c:v>1589</c:v>
                </c:pt>
                <c:pt idx="8">
                  <c:v>1932.4000000000087</c:v>
                </c:pt>
                <c:pt idx="9">
                  <c:v>3467.1999999999825</c:v>
                </c:pt>
                <c:pt idx="10">
                  <c:v>3640.1000000000058</c:v>
                </c:pt>
                <c:pt idx="11">
                  <c:v>3238.6000000000058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91-47B1-9587-CF6981C18E92}"/>
            </c:ext>
          </c:extLst>
        </c:ser>
        <c:ser>
          <c:idx val="1"/>
          <c:order val="1"/>
          <c:tx>
            <c:v>davon Aula 2006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'Verbrauch Strom'!$D$25:$O$25</c:f>
              <c:numCache>
                <c:formatCode>#,##0.00</c:formatCode>
                <c:ptCount val="12"/>
                <c:pt idx="0">
                  <c:v>2255.1999999999971</c:v>
                </c:pt>
                <c:pt idx="1">
                  <c:v>3108.6000000000058</c:v>
                </c:pt>
                <c:pt idx="2">
                  <c:v>2321.2999999999956</c:v>
                </c:pt>
                <c:pt idx="3">
                  <c:v>2086.2000000000044</c:v>
                </c:pt>
                <c:pt idx="4">
                  <c:v>1454.0999999999985</c:v>
                </c:pt>
                <c:pt idx="5">
                  <c:v>1905.1999999999971</c:v>
                </c:pt>
                <c:pt idx="6">
                  <c:v>1389.2000000000044</c:v>
                </c:pt>
                <c:pt idx="7">
                  <c:v>1177.5999999999985</c:v>
                </c:pt>
                <c:pt idx="8">
                  <c:v>1158.2999999999956</c:v>
                </c:pt>
                <c:pt idx="9">
                  <c:v>2375.4000000000015</c:v>
                </c:pt>
                <c:pt idx="10">
                  <c:v>2389.4000000000015</c:v>
                </c:pt>
                <c:pt idx="11">
                  <c:v>2255.3000000000029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91-47B1-9587-CF6981C18E92}"/>
            </c:ext>
          </c:extLst>
        </c:ser>
        <c:ser>
          <c:idx val="2"/>
          <c:order val="2"/>
          <c:tx>
            <c:v>Internat 2007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'Verbrauch Strom'!$D$43:$O$43</c:f>
              <c:numCache>
                <c:formatCode>#,##0.00</c:formatCode>
                <c:ptCount val="12"/>
                <c:pt idx="0">
                  <c:v>4365.7999999999884</c:v>
                </c:pt>
                <c:pt idx="1">
                  <c:v>3739</c:v>
                </c:pt>
                <c:pt idx="2">
                  <c:v>4020.5</c:v>
                </c:pt>
                <c:pt idx="3">
                  <c:v>2388.7000000000116</c:v>
                </c:pt>
                <c:pt idx="4">
                  <c:v>2857.2999999999884</c:v>
                </c:pt>
                <c:pt idx="5">
                  <c:v>2496.3000000000175</c:v>
                </c:pt>
                <c:pt idx="6">
                  <c:v>3009.6000000000058</c:v>
                </c:pt>
                <c:pt idx="7">
                  <c:v>683.89999999999418</c:v>
                </c:pt>
                <c:pt idx="8">
                  <c:v>2821.7999999999884</c:v>
                </c:pt>
                <c:pt idx="9">
                  <c:v>4734.7000000000116</c:v>
                </c:pt>
                <c:pt idx="10">
                  <c:v>4393.6000000000058</c:v>
                </c:pt>
                <c:pt idx="11">
                  <c:v>4384.6999999999825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91-47B1-9587-CF6981C18E92}"/>
            </c:ext>
          </c:extLst>
        </c:ser>
        <c:ser>
          <c:idx val="3"/>
          <c:order val="3"/>
          <c:tx>
            <c:v>davon Aula 2007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val>
            <c:numRef>
              <c:f>'Verbrauch Strom'!$D$44:$O$44</c:f>
              <c:numCache>
                <c:formatCode>#,##0.00</c:formatCode>
                <c:ptCount val="12"/>
                <c:pt idx="0">
                  <c:v>3027</c:v>
                </c:pt>
                <c:pt idx="1">
                  <c:v>2596.0999999999985</c:v>
                </c:pt>
                <c:pt idx="2">
                  <c:v>2696.0999999999985</c:v>
                </c:pt>
                <c:pt idx="3">
                  <c:v>1569</c:v>
                </c:pt>
                <c:pt idx="4">
                  <c:v>1877.3000000000029</c:v>
                </c:pt>
                <c:pt idx="5">
                  <c:v>1573.6999999999971</c:v>
                </c:pt>
                <c:pt idx="6">
                  <c:v>1962.8999999999942</c:v>
                </c:pt>
                <c:pt idx="7">
                  <c:v>437.20000000001164</c:v>
                </c:pt>
                <c:pt idx="8">
                  <c:v>1943.7999999999884</c:v>
                </c:pt>
                <c:pt idx="9">
                  <c:v>3492.4000000000087</c:v>
                </c:pt>
                <c:pt idx="10">
                  <c:v>3199</c:v>
                </c:pt>
                <c:pt idx="11">
                  <c:v>3259.6999999999971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91-47B1-9587-CF6981C18E92}"/>
            </c:ext>
          </c:extLst>
        </c:ser>
        <c:ser>
          <c:idx val="4"/>
          <c:order val="4"/>
          <c:tx>
            <c:v>Internat 2008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'Verbrauch Strom'!$D$22:$O$22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Mrz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'Verbrauch Strom'!$D$66:$O$66</c:f>
              <c:numCache>
                <c:formatCode>#,##0.00</c:formatCode>
                <c:ptCount val="12"/>
                <c:pt idx="0">
                  <c:v>3887.8000000000175</c:v>
                </c:pt>
                <c:pt idx="1">
                  <c:v>3814</c:v>
                </c:pt>
                <c:pt idx="2">
                  <c:v>2980.5</c:v>
                </c:pt>
                <c:pt idx="3">
                  <c:v>4143.6999999999825</c:v>
                </c:pt>
                <c:pt idx="4">
                  <c:v>2471.8999999999942</c:v>
                </c:pt>
                <c:pt idx="5">
                  <c:v>2812.3000000000175</c:v>
                </c:pt>
                <c:pt idx="6">
                  <c:v>2675.6999999999825</c:v>
                </c:pt>
                <c:pt idx="7">
                  <c:v>1118.6000000000058</c:v>
                </c:pt>
                <c:pt idx="8">
                  <c:v>2789.8999999999942</c:v>
                </c:pt>
                <c:pt idx="9">
                  <c:v>3007.2000000000116</c:v>
                </c:pt>
                <c:pt idx="10">
                  <c:v>3871</c:v>
                </c:pt>
                <c:pt idx="11">
                  <c:v>2587.2999999999884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91-47B1-9587-CF6981C18E92}"/>
            </c:ext>
          </c:extLst>
        </c:ser>
        <c:ser>
          <c:idx val="5"/>
          <c:order val="5"/>
          <c:tx>
            <c:v>davon Aula 2008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'Verbrauch Strom'!$D$22:$O$22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Mrz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'Verbrauch Strom'!$D$67:$O$67</c:f>
              <c:numCache>
                <c:formatCode>#,##0.00</c:formatCode>
                <c:ptCount val="12"/>
                <c:pt idx="0">
                  <c:v>2663.8999999999942</c:v>
                </c:pt>
                <c:pt idx="1">
                  <c:v>2724.3000000000029</c:v>
                </c:pt>
                <c:pt idx="2">
                  <c:v>2103</c:v>
                </c:pt>
                <c:pt idx="3">
                  <c:v>2842.1000000000058</c:v>
                </c:pt>
                <c:pt idx="4">
                  <c:v>1571.8999999999942</c:v>
                </c:pt>
                <c:pt idx="5">
                  <c:v>1622.8000000000029</c:v>
                </c:pt>
                <c:pt idx="6">
                  <c:v>1571.6000000000058</c:v>
                </c:pt>
                <c:pt idx="7">
                  <c:v>672.39999999999418</c:v>
                </c:pt>
                <c:pt idx="8">
                  <c:v>1600.3999999999942</c:v>
                </c:pt>
                <c:pt idx="9">
                  <c:v>1906.9000000000087</c:v>
                </c:pt>
                <c:pt idx="10">
                  <c:v>2500</c:v>
                </c:pt>
                <c:pt idx="11">
                  <c:v>1624.3999999999942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91-47B1-9587-CF6981C18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902367"/>
        <c:axId val="1"/>
      </c:lineChart>
      <c:catAx>
        <c:axId val="123902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2390236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5624999999999996"/>
          <c:y val="0.4208754208754209"/>
          <c:w val="0.99583333333333324"/>
          <c:h val="0.634680134680134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Zwischenzähler Sporthalle</a:t>
            </a:r>
          </a:p>
        </c:rich>
      </c:tx>
      <c:layout>
        <c:manualLayout>
          <c:xMode val="edge"/>
          <c:yMode val="edge"/>
          <c:x val="0.39166666666666666"/>
          <c:y val="2.02020202020202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999999999999997E-2"/>
          <c:y val="0.12457912457912458"/>
          <c:w val="0.84270833333333328"/>
          <c:h val="0.80639730639730645"/>
        </c:manualLayout>
      </c:layout>
      <c:lineChart>
        <c:grouping val="standard"/>
        <c:varyColors val="0"/>
        <c:ser>
          <c:idx val="0"/>
          <c:order val="0"/>
          <c:tx>
            <c:v>2005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'Verbrauch Strom'!$D$41:$O$41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Mrz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'Verbrauch Strom'!$D$15:$O$15</c:f>
              <c:numCache>
                <c:formatCode>#,##0.00</c:formatCode>
                <c:ptCount val="12"/>
                <c:pt idx="0">
                  <c:v>696.30000000000018</c:v>
                </c:pt>
                <c:pt idx="1">
                  <c:v>682.5</c:v>
                </c:pt>
                <c:pt idx="2">
                  <c:v>719.39999999999964</c:v>
                </c:pt>
                <c:pt idx="3">
                  <c:v>671.5</c:v>
                </c:pt>
                <c:pt idx="4">
                  <c:v>475.20000000000073</c:v>
                </c:pt>
                <c:pt idx="5">
                  <c:v>495.60000000000036</c:v>
                </c:pt>
                <c:pt idx="6">
                  <c:v>453.69999999999891</c:v>
                </c:pt>
                <c:pt idx="7">
                  <c:v>232.80000000000109</c:v>
                </c:pt>
                <c:pt idx="8">
                  <c:v>556.5</c:v>
                </c:pt>
                <c:pt idx="9">
                  <c:v>729.69999999999891</c:v>
                </c:pt>
                <c:pt idx="10">
                  <c:v>585.20000000000073</c:v>
                </c:pt>
                <c:pt idx="11">
                  <c:v>847.79999999999927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64-4423-8A3F-55EB78E5EA4A}"/>
            </c:ext>
          </c:extLst>
        </c:ser>
        <c:ser>
          <c:idx val="1"/>
          <c:order val="1"/>
          <c:tx>
            <c:v>2006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'Verbrauch Strom'!$D$37:$O$37</c:f>
              <c:numCache>
                <c:formatCode>#,##0.00</c:formatCode>
                <c:ptCount val="12"/>
                <c:pt idx="0">
                  <c:v>561.10000000000036</c:v>
                </c:pt>
                <c:pt idx="1">
                  <c:v>793.60000000000036</c:v>
                </c:pt>
                <c:pt idx="2">
                  <c:v>669.29999999999927</c:v>
                </c:pt>
                <c:pt idx="3">
                  <c:v>616.19999999999891</c:v>
                </c:pt>
                <c:pt idx="4">
                  <c:v>540.70000000000073</c:v>
                </c:pt>
                <c:pt idx="5">
                  <c:v>560</c:v>
                </c:pt>
                <c:pt idx="6">
                  <c:v>576.20000000000073</c:v>
                </c:pt>
                <c:pt idx="7">
                  <c:v>458.20000000000073</c:v>
                </c:pt>
                <c:pt idx="8">
                  <c:v>617.09999999999854</c:v>
                </c:pt>
                <c:pt idx="9">
                  <c:v>634.40000000000146</c:v>
                </c:pt>
                <c:pt idx="10">
                  <c:v>762.70000000000073</c:v>
                </c:pt>
                <c:pt idx="11">
                  <c:v>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64-4423-8A3F-55EB78E5EA4A}"/>
            </c:ext>
          </c:extLst>
        </c:ser>
        <c:ser>
          <c:idx val="2"/>
          <c:order val="2"/>
          <c:tx>
            <c:v>2007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'Verbrauch Strom'!$D$56:$O$56</c:f>
              <c:numCache>
                <c:formatCode>#,##0.00</c:formatCode>
                <c:ptCount val="12"/>
                <c:pt idx="0">
                  <c:v>1246.6999999999971</c:v>
                </c:pt>
                <c:pt idx="1">
                  <c:v>1050.8000000000029</c:v>
                </c:pt>
                <c:pt idx="2">
                  <c:v>1185.0999999999985</c:v>
                </c:pt>
                <c:pt idx="3">
                  <c:v>960.90000000000146</c:v>
                </c:pt>
                <c:pt idx="4">
                  <c:v>1336.2999999999993</c:v>
                </c:pt>
                <c:pt idx="5">
                  <c:v>1011.3999999999978</c:v>
                </c:pt>
                <c:pt idx="6">
                  <c:v>1121.1000000000022</c:v>
                </c:pt>
                <c:pt idx="7">
                  <c:v>320.5</c:v>
                </c:pt>
                <c:pt idx="8">
                  <c:v>818.29999999999927</c:v>
                </c:pt>
                <c:pt idx="9">
                  <c:v>1394.7000000000007</c:v>
                </c:pt>
                <c:pt idx="10">
                  <c:v>1016.7000000000007</c:v>
                </c:pt>
                <c:pt idx="11">
                  <c:v>1318.4000000000015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64-4423-8A3F-55EB78E5EA4A}"/>
            </c:ext>
          </c:extLst>
        </c:ser>
        <c:ser>
          <c:idx val="3"/>
          <c:order val="3"/>
          <c:tx>
            <c:v>2008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strRef>
              <c:f>'Verbrauch Strom'!$D$41:$O$41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Mrz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'Verbrauch Strom'!$D$79:$O$79</c:f>
              <c:numCache>
                <c:formatCode>#,##0.00</c:formatCode>
                <c:ptCount val="12"/>
                <c:pt idx="0">
                  <c:v>1042.2999999999956</c:v>
                </c:pt>
                <c:pt idx="1">
                  <c:v>1262.5999999999985</c:v>
                </c:pt>
                <c:pt idx="2">
                  <c:v>1116.3000000000029</c:v>
                </c:pt>
                <c:pt idx="3">
                  <c:v>1088.8000000000029</c:v>
                </c:pt>
                <c:pt idx="4">
                  <c:v>1223.3999999999942</c:v>
                </c:pt>
                <c:pt idx="5">
                  <c:v>1196.5</c:v>
                </c:pt>
                <c:pt idx="6">
                  <c:v>1570.1000000000058</c:v>
                </c:pt>
                <c:pt idx="7">
                  <c:v>876</c:v>
                </c:pt>
                <c:pt idx="8">
                  <c:v>1407.5999999999985</c:v>
                </c:pt>
                <c:pt idx="9">
                  <c:v>1597.0999999999985</c:v>
                </c:pt>
                <c:pt idx="10">
                  <c:v>1507.9000000000015</c:v>
                </c:pt>
                <c:pt idx="11">
                  <c:v>1104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64-4423-8A3F-55EB78E5E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303071"/>
        <c:axId val="1"/>
      </c:lineChart>
      <c:catAx>
        <c:axId val="367303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6730307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2916677602799658"/>
          <c:y val="0.45622895622895621"/>
          <c:w val="0.99583344269466323"/>
          <c:h val="0.5993265993265992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Wasserverbrauch</a:t>
            </a:r>
          </a:p>
        </c:rich>
      </c:tx>
      <c:layout>
        <c:manualLayout>
          <c:xMode val="edge"/>
          <c:yMode val="edge"/>
          <c:x val="0.42708333333333331"/>
          <c:y val="2.02020202020202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4791666666666667E-2"/>
          <c:y val="0.12457912457912458"/>
          <c:w val="0.81666666666666665"/>
          <c:h val="0.80639730639730645"/>
        </c:manualLayout>
      </c:layout>
      <c:lineChart>
        <c:grouping val="standard"/>
        <c:varyColors val="0"/>
        <c:ser>
          <c:idx val="0"/>
          <c:order val="0"/>
          <c:tx>
            <c:v>Schloss 2006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'Verbrauch Wasser'!$C$21:$N$21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Mrz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'Verbrauch Wasser'!$C$16:$N$16</c:f>
              <c:numCache>
                <c:formatCode>General</c:formatCode>
                <c:ptCount val="12"/>
                <c:pt idx="0">
                  <c:v>198</c:v>
                </c:pt>
                <c:pt idx="1">
                  <c:v>207</c:v>
                </c:pt>
                <c:pt idx="2">
                  <c:v>247</c:v>
                </c:pt>
                <c:pt idx="3">
                  <c:v>132</c:v>
                </c:pt>
                <c:pt idx="4">
                  <c:v>219</c:v>
                </c:pt>
                <c:pt idx="5">
                  <c:v>188</c:v>
                </c:pt>
                <c:pt idx="6">
                  <c:v>198</c:v>
                </c:pt>
                <c:pt idx="7">
                  <c:v>109</c:v>
                </c:pt>
                <c:pt idx="8">
                  <c:v>137</c:v>
                </c:pt>
                <c:pt idx="9">
                  <c:v>266</c:v>
                </c:pt>
                <c:pt idx="10">
                  <c:v>289</c:v>
                </c:pt>
                <c:pt idx="11">
                  <c:v>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74-4060-8B04-FD790C57D51B}"/>
            </c:ext>
          </c:extLst>
        </c:ser>
        <c:ser>
          <c:idx val="1"/>
          <c:order val="1"/>
          <c:tx>
            <c:v>Schloss 2007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'Verbrauch Wasser'!$C$23:$N$23</c:f>
              <c:numCache>
                <c:formatCode>General</c:formatCode>
                <c:ptCount val="12"/>
                <c:pt idx="0">
                  <c:v>221</c:v>
                </c:pt>
                <c:pt idx="1">
                  <c:v>223</c:v>
                </c:pt>
                <c:pt idx="2">
                  <c:v>285</c:v>
                </c:pt>
                <c:pt idx="3">
                  <c:v>179</c:v>
                </c:pt>
                <c:pt idx="4">
                  <c:v>184</c:v>
                </c:pt>
                <c:pt idx="5">
                  <c:v>222</c:v>
                </c:pt>
                <c:pt idx="6">
                  <c:v>235</c:v>
                </c:pt>
                <c:pt idx="7">
                  <c:v>9</c:v>
                </c:pt>
                <c:pt idx="8">
                  <c:v>185</c:v>
                </c:pt>
                <c:pt idx="9">
                  <c:v>228</c:v>
                </c:pt>
                <c:pt idx="10">
                  <c:v>257</c:v>
                </c:pt>
                <c:pt idx="11">
                  <c:v>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74-4060-8B04-FD790C57D51B}"/>
            </c:ext>
          </c:extLst>
        </c:ser>
        <c:ser>
          <c:idx val="2"/>
          <c:order val="2"/>
          <c:tx>
            <c:v>L13 2006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'Verbrauch Wasser'!$C$19:$N$19</c:f>
              <c:numCache>
                <c:formatCode>General</c:formatCode>
                <c:ptCount val="12"/>
                <c:pt idx="0">
                  <c:v>44</c:v>
                </c:pt>
                <c:pt idx="1">
                  <c:v>44.299999999999955</c:v>
                </c:pt>
                <c:pt idx="2">
                  <c:v>38.700000000000045</c:v>
                </c:pt>
                <c:pt idx="3">
                  <c:v>31</c:v>
                </c:pt>
                <c:pt idx="4">
                  <c:v>33</c:v>
                </c:pt>
                <c:pt idx="5">
                  <c:v>28</c:v>
                </c:pt>
                <c:pt idx="6">
                  <c:v>24</c:v>
                </c:pt>
                <c:pt idx="7">
                  <c:v>9</c:v>
                </c:pt>
                <c:pt idx="8">
                  <c:v>29</c:v>
                </c:pt>
                <c:pt idx="9">
                  <c:v>32</c:v>
                </c:pt>
                <c:pt idx="10">
                  <c:v>36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74-4060-8B04-FD790C57D51B}"/>
            </c:ext>
          </c:extLst>
        </c:ser>
        <c:ser>
          <c:idx val="3"/>
          <c:order val="3"/>
          <c:tx>
            <c:v>L13 2007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val>
            <c:numRef>
              <c:f>'Verbrauch Wasser'!$C$26:$N$26</c:f>
              <c:numCache>
                <c:formatCode>General</c:formatCode>
                <c:ptCount val="12"/>
                <c:pt idx="0">
                  <c:v>40</c:v>
                </c:pt>
                <c:pt idx="1">
                  <c:v>37</c:v>
                </c:pt>
                <c:pt idx="2">
                  <c:v>42</c:v>
                </c:pt>
                <c:pt idx="3">
                  <c:v>32</c:v>
                </c:pt>
                <c:pt idx="4">
                  <c:v>35</c:v>
                </c:pt>
                <c:pt idx="5">
                  <c:v>27</c:v>
                </c:pt>
                <c:pt idx="6">
                  <c:v>27</c:v>
                </c:pt>
                <c:pt idx="7">
                  <c:v>11</c:v>
                </c:pt>
                <c:pt idx="8">
                  <c:v>25</c:v>
                </c:pt>
                <c:pt idx="9">
                  <c:v>29</c:v>
                </c:pt>
                <c:pt idx="10">
                  <c:v>31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74-4060-8B04-FD790C57D51B}"/>
            </c:ext>
          </c:extLst>
        </c:ser>
        <c:ser>
          <c:idx val="4"/>
          <c:order val="4"/>
          <c:tx>
            <c:v>Aula 2006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val>
            <c:numRef>
              <c:f>'Verbrauch Wasser'!$C$18:$N$18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8</c:v>
                </c:pt>
                <c:pt idx="7">
                  <c:v>27</c:v>
                </c:pt>
                <c:pt idx="8">
                  <c:v>24</c:v>
                </c:pt>
                <c:pt idx="9">
                  <c:v>24</c:v>
                </c:pt>
                <c:pt idx="10">
                  <c:v>14.199999999999989</c:v>
                </c:pt>
                <c:pt idx="11">
                  <c:v>5.8000000000000114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74-4060-8B04-FD790C57D51B}"/>
            </c:ext>
          </c:extLst>
        </c:ser>
        <c:ser>
          <c:idx val="5"/>
          <c:order val="5"/>
          <c:tx>
            <c:v>Aula 2007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'Verbrauch Wasser'!$C$25:$N$25</c:f>
              <c:numCache>
                <c:formatCode>General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40</c:v>
                </c:pt>
                <c:pt idx="7">
                  <c:v>0</c:v>
                </c:pt>
                <c:pt idx="8">
                  <c:v>6</c:v>
                </c:pt>
                <c:pt idx="9">
                  <c:v>9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74-4060-8B04-FD790C57D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80287"/>
        <c:axId val="1"/>
      </c:lineChart>
      <c:catAx>
        <c:axId val="1238802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2388028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7291666666666667"/>
          <c:y val="0.4208754208754209"/>
          <c:w val="0.99583333333333335"/>
          <c:h val="0.634680134680134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4FE87D-48AB-4877-BAA6-9EA7FAE91AB7}">
  <sheetPr>
    <tabColor indexed="43"/>
  </sheetPr>
  <sheetViews>
    <sheetView zoomScale="109" workbookViewId="0"/>
  </sheetViews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CE8D21E-59E1-4F53-9FAA-2D7BC3591F86}">
  <sheetPr>
    <tabColor indexed="43"/>
  </sheetPr>
  <sheetViews>
    <sheetView zoomScale="109" workbookViewId="0"/>
  </sheetViews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E848AA3-643B-462E-9707-DAC56910DDF0}">
  <sheetPr>
    <tabColor indexed="45"/>
  </sheetPr>
  <sheetViews>
    <sheetView zoomScale="109" workbookViewId="0"/>
  </sheetViews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940E242-A175-401A-85EF-CDB4262170BA}">
  <sheetPr>
    <tabColor indexed="45"/>
  </sheetPr>
  <sheetViews>
    <sheetView zoomScale="109" workbookViewId="0"/>
  </sheetViews>
  <pageMargins left="0.78740157499999996" right="0.78740157499999996" top="0.984251969" bottom="0.984251969" header="0.4921259845" footer="0.492125984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2A2461-1284-4AB2-87F7-33C7A0325EA5}">
  <sheetPr>
    <tabColor indexed="44"/>
  </sheetPr>
  <sheetViews>
    <sheetView zoomScale="109" workbookViewId="0"/>
  </sheetViews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144000" cy="565785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855827D-ECE8-DCB0-4A6C-6E28EE9FA1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144000" cy="565785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E7F939C-3D65-4FD4-5F6B-589FB2FEDE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144000" cy="565785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D551CD7-29E4-0BA8-B990-12ADF96B29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144000" cy="565785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DB1110F-B02E-B168-B60A-CC27FFF51F7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144000" cy="565785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39A45EA-C1E7-CBE3-748D-304F362BA57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0DF3-187A-4372-9142-1CD33F123F4F}">
  <sheetPr>
    <tabColor indexed="43"/>
  </sheetPr>
  <dimension ref="A1:S73"/>
  <sheetViews>
    <sheetView topLeftCell="A48" workbookViewId="0">
      <selection activeCell="H75" sqref="H75"/>
    </sheetView>
  </sheetViews>
  <sheetFormatPr baseColWidth="10" defaultRowHeight="12.75" x14ac:dyDescent="0.2"/>
  <cols>
    <col min="1" max="1" width="24" customWidth="1"/>
    <col min="2" max="2" width="6.7109375" customWidth="1"/>
    <col min="3" max="7" width="11.7109375" bestFit="1" customWidth="1"/>
    <col min="8" max="8" width="12.7109375" bestFit="1" customWidth="1"/>
    <col min="9" max="15" width="11.7109375" bestFit="1" customWidth="1"/>
    <col min="17" max="17" width="13.140625" customWidth="1"/>
  </cols>
  <sheetData>
    <row r="1" spans="1:19" ht="15.75" x14ac:dyDescent="0.25">
      <c r="A1" s="1" t="s">
        <v>0</v>
      </c>
    </row>
    <row r="2" spans="1:19" ht="15.75" x14ac:dyDescent="0.25">
      <c r="A2" s="1">
        <v>2005</v>
      </c>
      <c r="B2" s="13" t="s">
        <v>69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</row>
    <row r="3" spans="1:19" x14ac:dyDescent="0.2">
      <c r="B3" s="13"/>
      <c r="C3" s="12">
        <v>38362</v>
      </c>
      <c r="D3" s="2" t="s">
        <v>20</v>
      </c>
      <c r="E3" s="2" t="s">
        <v>39</v>
      </c>
      <c r="F3" s="2" t="s">
        <v>40</v>
      </c>
      <c r="G3" s="2" t="s">
        <v>41</v>
      </c>
      <c r="H3" s="2" t="s">
        <v>24</v>
      </c>
      <c r="I3" s="2" t="s">
        <v>42</v>
      </c>
      <c r="J3" s="2" t="s">
        <v>43</v>
      </c>
      <c r="K3" s="2" t="s">
        <v>27</v>
      </c>
      <c r="L3" s="2" t="s">
        <v>44</v>
      </c>
      <c r="M3" s="2" t="s">
        <v>45</v>
      </c>
      <c r="N3" s="2" t="s">
        <v>29</v>
      </c>
      <c r="O3" s="12">
        <v>38726</v>
      </c>
    </row>
    <row r="4" spans="1:19" x14ac:dyDescent="0.2">
      <c r="A4" t="s">
        <v>1</v>
      </c>
      <c r="B4" s="13"/>
      <c r="C4" s="3">
        <v>1912734.7</v>
      </c>
      <c r="D4" s="3">
        <v>1922570.4</v>
      </c>
      <c r="E4" s="3">
        <v>1933497.4</v>
      </c>
      <c r="F4" s="3">
        <v>1941579.1</v>
      </c>
      <c r="G4" s="3">
        <v>1946480.8</v>
      </c>
      <c r="H4" s="3">
        <v>1949124.6</v>
      </c>
      <c r="I4" s="3">
        <v>1950733.2</v>
      </c>
      <c r="J4" s="3">
        <v>1952022.1</v>
      </c>
      <c r="K4" s="3">
        <v>1953436.4</v>
      </c>
      <c r="L4" s="3">
        <v>1955850.8</v>
      </c>
      <c r="M4" s="3">
        <v>1960502.7</v>
      </c>
      <c r="N4" s="3">
        <v>1968762.6</v>
      </c>
      <c r="O4" s="3">
        <v>1981729.5</v>
      </c>
      <c r="Q4" s="3">
        <f>SUM(O4-C4)</f>
        <v>68994.800000000047</v>
      </c>
    </row>
    <row r="5" spans="1:19" x14ac:dyDescent="0.2">
      <c r="A5" t="s">
        <v>19</v>
      </c>
      <c r="B5" s="13"/>
      <c r="C5" s="3" t="s">
        <v>35</v>
      </c>
      <c r="D5" s="3"/>
      <c r="E5" s="3">
        <v>27.15</v>
      </c>
      <c r="F5" s="3">
        <v>68.48</v>
      </c>
      <c r="G5" s="3">
        <v>110.81</v>
      </c>
      <c r="H5" s="3">
        <v>139.4</v>
      </c>
      <c r="I5" s="3">
        <v>188.1</v>
      </c>
      <c r="J5" s="3">
        <v>228</v>
      </c>
      <c r="K5" s="3">
        <v>283.61</v>
      </c>
      <c r="L5" s="3">
        <v>340.14</v>
      </c>
      <c r="M5" s="3">
        <v>397.39</v>
      </c>
      <c r="N5" s="3">
        <v>455.14</v>
      </c>
      <c r="O5" s="3">
        <v>499.22</v>
      </c>
      <c r="R5">
        <v>499.22</v>
      </c>
      <c r="S5" t="s">
        <v>46</v>
      </c>
    </row>
    <row r="6" spans="1:19" x14ac:dyDescent="0.2">
      <c r="A6" t="s">
        <v>2</v>
      </c>
      <c r="B6" s="13"/>
      <c r="C6" s="3">
        <v>62778.22</v>
      </c>
      <c r="D6" s="3">
        <v>63714.25</v>
      </c>
      <c r="E6" s="3">
        <v>64709.86</v>
      </c>
      <c r="F6" s="3">
        <v>65696.31</v>
      </c>
      <c r="G6" s="3">
        <v>66374.47</v>
      </c>
      <c r="H6" s="3">
        <v>66526.929999999993</v>
      </c>
      <c r="I6" s="3">
        <v>66526.929999999993</v>
      </c>
      <c r="J6" s="3">
        <v>66526.929999999993</v>
      </c>
      <c r="K6" s="3">
        <v>66526.929999999993</v>
      </c>
      <c r="L6" s="3">
        <v>66567.490000000005</v>
      </c>
      <c r="M6" s="3">
        <v>67120.98</v>
      </c>
      <c r="N6" s="3">
        <v>68103.25</v>
      </c>
      <c r="O6" s="3">
        <v>69566</v>
      </c>
      <c r="Q6" s="3">
        <f>SUM(O6-C6)</f>
        <v>6787.7799999999988</v>
      </c>
    </row>
    <row r="7" spans="1:19" x14ac:dyDescent="0.2">
      <c r="A7" t="s">
        <v>3</v>
      </c>
      <c r="B7" s="13"/>
      <c r="C7" s="5">
        <v>3549.6550000000002</v>
      </c>
      <c r="D7" s="3">
        <v>4443.8639999999996</v>
      </c>
      <c r="E7" s="3">
        <v>5443.076</v>
      </c>
      <c r="F7" s="3">
        <v>6418.8239999999996</v>
      </c>
      <c r="G7" s="3">
        <v>6948.7</v>
      </c>
      <c r="H7" s="3">
        <v>7243.88</v>
      </c>
      <c r="I7" s="3">
        <v>7448.3</v>
      </c>
      <c r="J7" s="3">
        <v>7607.76</v>
      </c>
      <c r="K7" s="3">
        <v>7772.41</v>
      </c>
      <c r="L7" s="3">
        <v>8067.54</v>
      </c>
      <c r="M7" s="3">
        <v>8593.67</v>
      </c>
      <c r="N7" s="3">
        <v>9409.27</v>
      </c>
      <c r="O7" s="3">
        <v>10746.02</v>
      </c>
      <c r="Q7" s="3">
        <f>SUM(O7-C7)</f>
        <v>7196.3649999999998</v>
      </c>
    </row>
    <row r="8" spans="1:19" x14ac:dyDescent="0.2">
      <c r="A8" t="s">
        <v>4</v>
      </c>
      <c r="B8" s="13"/>
    </row>
    <row r="9" spans="1:19" x14ac:dyDescent="0.2">
      <c r="B9" s="13"/>
    </row>
    <row r="10" spans="1:19" x14ac:dyDescent="0.2">
      <c r="B10" s="13"/>
    </row>
    <row r="11" spans="1:19" x14ac:dyDescent="0.2">
      <c r="A11" s="9" t="s">
        <v>73</v>
      </c>
      <c r="B11" s="14"/>
    </row>
    <row r="12" spans="1:19" x14ac:dyDescent="0.2">
      <c r="A12" s="9" t="s">
        <v>74</v>
      </c>
      <c r="B12" s="14"/>
    </row>
    <row r="13" spans="1:19" x14ac:dyDescent="0.2">
      <c r="A13" s="11" t="s">
        <v>75</v>
      </c>
      <c r="B13" s="13"/>
    </row>
    <row r="14" spans="1:19" x14ac:dyDescent="0.2">
      <c r="A14" s="8"/>
      <c r="B14" s="13"/>
    </row>
    <row r="15" spans="1:19" x14ac:dyDescent="0.2">
      <c r="B15" s="13"/>
    </row>
    <row r="16" spans="1:19" ht="15.75" x14ac:dyDescent="0.25">
      <c r="A16" s="1">
        <v>2006</v>
      </c>
      <c r="B16" s="13" t="s">
        <v>69</v>
      </c>
      <c r="C16" s="2" t="s">
        <v>6</v>
      </c>
      <c r="D16" s="2" t="s">
        <v>7</v>
      </c>
      <c r="E16" s="2" t="s">
        <v>8</v>
      </c>
      <c r="F16" s="2" t="s">
        <v>9</v>
      </c>
      <c r="G16" s="2" t="s">
        <v>10</v>
      </c>
      <c r="H16" s="2" t="s">
        <v>11</v>
      </c>
      <c r="I16" s="2" t="s">
        <v>12</v>
      </c>
      <c r="J16" s="2" t="s">
        <v>13</v>
      </c>
      <c r="K16" s="2" t="s">
        <v>14</v>
      </c>
      <c r="L16" s="2" t="s">
        <v>15</v>
      </c>
      <c r="M16" s="2" t="s">
        <v>16</v>
      </c>
      <c r="N16" s="2" t="s">
        <v>17</v>
      </c>
      <c r="Q16" s="2" t="s">
        <v>31</v>
      </c>
    </row>
    <row r="17" spans="1:19" x14ac:dyDescent="0.2">
      <c r="B17" s="13"/>
      <c r="C17" s="12">
        <v>38726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 t="s">
        <v>28</v>
      </c>
      <c r="M17" t="s">
        <v>36</v>
      </c>
      <c r="N17" t="s">
        <v>29</v>
      </c>
      <c r="O17" s="12">
        <v>39073</v>
      </c>
    </row>
    <row r="18" spans="1:19" x14ac:dyDescent="0.2">
      <c r="A18" t="s">
        <v>1</v>
      </c>
      <c r="B18" s="13"/>
      <c r="C18" s="3">
        <v>1981729.5</v>
      </c>
      <c r="D18" s="3">
        <v>1992110.2</v>
      </c>
      <c r="E18" s="3">
        <v>2003860.5</v>
      </c>
      <c r="F18" s="3">
        <v>2011800.4</v>
      </c>
      <c r="G18" s="3">
        <v>2016015.8</v>
      </c>
      <c r="H18" s="3">
        <v>2018288.8</v>
      </c>
      <c r="I18" s="3">
        <v>2020238.1</v>
      </c>
      <c r="J18" s="3">
        <v>2021738.6</v>
      </c>
      <c r="K18" s="3">
        <v>2023309.4</v>
      </c>
      <c r="L18" s="3">
        <v>2025122.3</v>
      </c>
      <c r="M18" s="4">
        <v>2028569.4</v>
      </c>
      <c r="N18" s="3">
        <v>2035133.5</v>
      </c>
      <c r="O18" s="3">
        <v>2041124.6</v>
      </c>
      <c r="Q18" s="3">
        <f>SUM(O18-C18)</f>
        <v>59395.100000000093</v>
      </c>
    </row>
    <row r="19" spans="1:19" x14ac:dyDescent="0.2">
      <c r="A19" t="s">
        <v>19</v>
      </c>
      <c r="B19" s="13"/>
      <c r="C19" s="3">
        <v>499.22</v>
      </c>
      <c r="D19" s="3">
        <v>550.70000000000005</v>
      </c>
      <c r="E19" s="3">
        <v>608.36</v>
      </c>
      <c r="F19" s="3">
        <v>671.46</v>
      </c>
      <c r="G19" s="3">
        <v>711.82</v>
      </c>
      <c r="H19" s="3">
        <v>747.46</v>
      </c>
      <c r="I19" s="3">
        <v>801.75</v>
      </c>
      <c r="J19" s="3">
        <v>855.74</v>
      </c>
      <c r="K19" s="3">
        <v>903.69</v>
      </c>
      <c r="L19" s="3">
        <v>943.56</v>
      </c>
      <c r="M19" s="4">
        <v>1000.79</v>
      </c>
      <c r="N19" s="3">
        <v>1071.31</v>
      </c>
      <c r="O19" s="3">
        <v>1118.6400000000001</v>
      </c>
      <c r="R19" s="3">
        <f>SUM(O19-C19)</f>
        <v>619.42000000000007</v>
      </c>
      <c r="S19" t="s">
        <v>34</v>
      </c>
    </row>
    <row r="20" spans="1:19" x14ac:dyDescent="0.2">
      <c r="A20" t="s">
        <v>2</v>
      </c>
      <c r="B20" s="13"/>
      <c r="C20" s="3">
        <v>69566</v>
      </c>
      <c r="D20" s="3">
        <v>70875.3</v>
      </c>
      <c r="E20" s="3">
        <v>72517.070000000007</v>
      </c>
      <c r="F20" s="3">
        <v>73551.12</v>
      </c>
      <c r="G20" s="3">
        <v>73688.91</v>
      </c>
      <c r="H20" s="3">
        <v>73688.91</v>
      </c>
      <c r="I20" s="3">
        <v>73688.91</v>
      </c>
      <c r="J20" s="3">
        <v>73688.91</v>
      </c>
      <c r="K20" s="3">
        <v>73688.91</v>
      </c>
      <c r="L20" s="3">
        <v>73688.91</v>
      </c>
      <c r="M20" s="10">
        <v>172410</v>
      </c>
      <c r="N20" s="3">
        <v>173117.62</v>
      </c>
      <c r="O20" s="3">
        <v>173744.21</v>
      </c>
      <c r="P20" t="s">
        <v>32</v>
      </c>
      <c r="Q20" s="3">
        <f>SUM(O20-M20+L20-C20)</f>
        <v>5457.1199999999953</v>
      </c>
    </row>
    <row r="21" spans="1:19" x14ac:dyDescent="0.2">
      <c r="A21" t="s">
        <v>3</v>
      </c>
      <c r="B21" s="13"/>
      <c r="C21" s="3">
        <v>10746.02</v>
      </c>
      <c r="D21" s="3">
        <v>11879.9</v>
      </c>
      <c r="E21" s="3">
        <v>13234.192999999999</v>
      </c>
      <c r="F21" s="3">
        <v>14184.05</v>
      </c>
      <c r="G21" s="3">
        <v>14679.06</v>
      </c>
      <c r="H21" s="3">
        <v>14944.02</v>
      </c>
      <c r="I21" s="3">
        <v>15160.3</v>
      </c>
      <c r="J21" s="3">
        <v>15318.68</v>
      </c>
      <c r="K21" s="3">
        <v>15442.529</v>
      </c>
      <c r="L21" s="3">
        <v>15634.316999999999</v>
      </c>
      <c r="M21" s="4">
        <v>16047.453</v>
      </c>
      <c r="N21" s="3">
        <v>16788.87</v>
      </c>
      <c r="O21" s="3">
        <v>17392.125</v>
      </c>
      <c r="Q21" s="3">
        <f>SUM(O21-C21)</f>
        <v>6646.1049999999996</v>
      </c>
    </row>
    <row r="22" spans="1:19" x14ac:dyDescent="0.2">
      <c r="A22" t="s">
        <v>4</v>
      </c>
      <c r="B22" s="1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v>50493.3</v>
      </c>
    </row>
    <row r="23" spans="1:19" x14ac:dyDescent="0.2">
      <c r="B23" s="13"/>
    </row>
    <row r="24" spans="1:19" x14ac:dyDescent="0.2">
      <c r="A24" t="s">
        <v>5</v>
      </c>
      <c r="B24" s="13"/>
    </row>
    <row r="25" spans="1:19" x14ac:dyDescent="0.2">
      <c r="A25" t="s">
        <v>33</v>
      </c>
      <c r="B25" s="13"/>
    </row>
    <row r="26" spans="1:19" x14ac:dyDescent="0.2">
      <c r="B26" s="13"/>
    </row>
    <row r="27" spans="1:19" x14ac:dyDescent="0.2">
      <c r="B27" s="13"/>
    </row>
    <row r="28" spans="1:19" ht="15.75" x14ac:dyDescent="0.25">
      <c r="A28" s="1">
        <v>2007</v>
      </c>
      <c r="B28" s="21" t="s">
        <v>69</v>
      </c>
      <c r="C28" s="22" t="s">
        <v>6</v>
      </c>
      <c r="D28" s="22" t="s">
        <v>7</v>
      </c>
      <c r="E28" s="22" t="s">
        <v>8</v>
      </c>
      <c r="F28" s="22" t="s">
        <v>9</v>
      </c>
      <c r="G28" s="22" t="s">
        <v>10</v>
      </c>
      <c r="H28" s="22" t="s">
        <v>11</v>
      </c>
      <c r="I28" s="22" t="s">
        <v>12</v>
      </c>
      <c r="J28" s="22" t="s">
        <v>13</v>
      </c>
      <c r="K28" s="22" t="s">
        <v>14</v>
      </c>
      <c r="L28" s="22" t="s">
        <v>15</v>
      </c>
      <c r="M28" s="22" t="s">
        <v>16</v>
      </c>
      <c r="N28" s="22" t="s">
        <v>17</v>
      </c>
      <c r="O28" s="23"/>
    </row>
    <row r="29" spans="1:19" x14ac:dyDescent="0.2">
      <c r="B29" s="23"/>
      <c r="C29" s="24">
        <v>39073</v>
      </c>
      <c r="D29" s="23" t="s">
        <v>20</v>
      </c>
      <c r="E29" s="23" t="s">
        <v>39</v>
      </c>
      <c r="F29" s="23" t="s">
        <v>77</v>
      </c>
      <c r="G29" s="23" t="s">
        <v>41</v>
      </c>
      <c r="H29" s="23" t="s">
        <v>78</v>
      </c>
      <c r="I29" s="23" t="s">
        <v>79</v>
      </c>
      <c r="J29" s="23" t="s">
        <v>80</v>
      </c>
      <c r="K29" s="23" t="s">
        <v>81</v>
      </c>
      <c r="L29" s="23" t="s">
        <v>82</v>
      </c>
      <c r="M29" s="23" t="s">
        <v>83</v>
      </c>
      <c r="N29" s="23" t="s">
        <v>84</v>
      </c>
      <c r="O29" s="24">
        <v>39454</v>
      </c>
    </row>
    <row r="30" spans="1:19" x14ac:dyDescent="0.2">
      <c r="A30" t="s">
        <v>1</v>
      </c>
      <c r="C30" s="3">
        <v>2041124.6</v>
      </c>
      <c r="D30" s="3">
        <v>2052151.6</v>
      </c>
      <c r="E30" s="3">
        <v>2059719.1</v>
      </c>
      <c r="F30" s="3">
        <v>2067240.5</v>
      </c>
      <c r="G30" s="3">
        <v>2069893.6</v>
      </c>
      <c r="H30" s="3">
        <v>2072691</v>
      </c>
      <c r="I30" s="3">
        <v>2074219.7</v>
      </c>
      <c r="J30" s="3">
        <v>2076437.6</v>
      </c>
      <c r="K30" s="3">
        <v>2077293.1</v>
      </c>
      <c r="L30" s="3">
        <v>2079812</v>
      </c>
      <c r="M30" s="3">
        <v>2085850.3</v>
      </c>
      <c r="N30" s="3">
        <v>2094379.4</v>
      </c>
      <c r="O30" s="3">
        <v>2106415.1</v>
      </c>
      <c r="Q30" s="3">
        <f>SUM(O30-C30)</f>
        <v>65290.5</v>
      </c>
    </row>
    <row r="31" spans="1:19" x14ac:dyDescent="0.2">
      <c r="A31" t="s">
        <v>19</v>
      </c>
      <c r="C31" s="3">
        <v>1118.6400000000001</v>
      </c>
      <c r="D31" s="3">
        <v>1178.23</v>
      </c>
      <c r="E31" s="3">
        <v>1239.3</v>
      </c>
      <c r="F31" s="3">
        <v>1332.27</v>
      </c>
      <c r="G31" s="3">
        <v>1373.1</v>
      </c>
      <c r="H31" s="3">
        <v>1425.13</v>
      </c>
      <c r="I31" s="3">
        <v>1474.49</v>
      </c>
      <c r="J31" s="3">
        <v>1559.22</v>
      </c>
      <c r="K31" s="3">
        <v>1559.23</v>
      </c>
      <c r="L31" s="3">
        <v>1609.7</v>
      </c>
      <c r="M31" s="3">
        <v>1666.16</v>
      </c>
      <c r="N31" s="3">
        <v>1730.85</v>
      </c>
      <c r="O31" s="3">
        <v>1780.4</v>
      </c>
      <c r="R31" s="3">
        <f>SUM(O31-C31)</f>
        <v>661.76</v>
      </c>
      <c r="S31" t="s">
        <v>34</v>
      </c>
    </row>
    <row r="32" spans="1:19" x14ac:dyDescent="0.2">
      <c r="A32" t="s">
        <v>2</v>
      </c>
      <c r="C32" s="3">
        <v>173744.21</v>
      </c>
      <c r="D32" s="3">
        <v>174889.52</v>
      </c>
      <c r="E32" s="3">
        <v>175592.75</v>
      </c>
      <c r="F32" s="3">
        <v>176272.24</v>
      </c>
      <c r="G32" s="3">
        <v>176448.9</v>
      </c>
      <c r="H32" s="3">
        <v>176570.08</v>
      </c>
      <c r="I32" s="3">
        <v>176570.14</v>
      </c>
      <c r="J32" s="3">
        <v>176570.15</v>
      </c>
      <c r="K32" s="3">
        <v>176570.19</v>
      </c>
      <c r="L32" s="3">
        <v>176762.8</v>
      </c>
      <c r="M32" s="3">
        <v>177166.92</v>
      </c>
      <c r="N32" s="3">
        <v>177816.72</v>
      </c>
      <c r="O32" s="3">
        <v>178801.97</v>
      </c>
      <c r="Q32" s="3">
        <f>SUM(O32-C32)</f>
        <v>5057.7600000000093</v>
      </c>
    </row>
    <row r="33" spans="1:19" x14ac:dyDescent="0.2">
      <c r="A33" t="s">
        <v>3</v>
      </c>
      <c r="C33" s="3">
        <v>17392.125</v>
      </c>
      <c r="D33" s="3">
        <v>18542.669999999998</v>
      </c>
      <c r="E33" s="3">
        <v>19341.64</v>
      </c>
      <c r="F33" s="3">
        <v>20116.05</v>
      </c>
      <c r="G33" s="3">
        <v>20397.63</v>
      </c>
      <c r="H33" s="3">
        <v>20667.84</v>
      </c>
      <c r="I33" s="3">
        <v>20838.72</v>
      </c>
      <c r="J33" s="3">
        <v>21071.360000000001</v>
      </c>
      <c r="K33" s="3">
        <v>21185.01</v>
      </c>
      <c r="L33" s="3">
        <v>21477.360000000001</v>
      </c>
      <c r="M33" s="3">
        <v>22166.400000000001</v>
      </c>
      <c r="N33" s="3">
        <v>23088.25</v>
      </c>
      <c r="O33" s="3">
        <v>24388.83</v>
      </c>
      <c r="Q33" s="3">
        <f>SUM(O33-C33)</f>
        <v>6996.7050000000017</v>
      </c>
    </row>
    <row r="34" spans="1:19" x14ac:dyDescent="0.2">
      <c r="C34" s="3" t="s">
        <v>35</v>
      </c>
    </row>
    <row r="36" spans="1:19" ht="15.75" x14ac:dyDescent="0.25">
      <c r="A36" s="1">
        <v>2008</v>
      </c>
      <c r="B36" s="25" t="s">
        <v>69</v>
      </c>
      <c r="C36" s="26" t="s">
        <v>6</v>
      </c>
      <c r="D36" s="26" t="s">
        <v>7</v>
      </c>
      <c r="E36" s="26" t="s">
        <v>8</v>
      </c>
      <c r="F36" s="26" t="s">
        <v>9</v>
      </c>
      <c r="G36" s="26" t="s">
        <v>10</v>
      </c>
      <c r="H36" s="26" t="s">
        <v>11</v>
      </c>
      <c r="I36" s="26" t="s">
        <v>12</v>
      </c>
      <c r="J36" s="26" t="s">
        <v>13</v>
      </c>
      <c r="K36" s="26" t="s">
        <v>14</v>
      </c>
      <c r="L36" s="26" t="s">
        <v>15</v>
      </c>
      <c r="M36" s="26" t="s">
        <v>16</v>
      </c>
      <c r="N36" s="26" t="s">
        <v>17</v>
      </c>
      <c r="O36" s="25"/>
    </row>
    <row r="37" spans="1:19" x14ac:dyDescent="0.2">
      <c r="B37" s="25"/>
      <c r="C37" s="27">
        <v>39454</v>
      </c>
      <c r="D37" s="25" t="s">
        <v>20</v>
      </c>
      <c r="E37" s="25" t="s">
        <v>101</v>
      </c>
      <c r="F37" s="25" t="s">
        <v>40</v>
      </c>
      <c r="G37" s="25" t="s">
        <v>102</v>
      </c>
      <c r="H37" s="25" t="s">
        <v>103</v>
      </c>
      <c r="I37" s="25" t="s">
        <v>42</v>
      </c>
      <c r="J37" s="25" t="s">
        <v>104</v>
      </c>
      <c r="K37" s="25" t="s">
        <v>105</v>
      </c>
      <c r="L37" s="28" t="s">
        <v>106</v>
      </c>
      <c r="M37" s="25" t="s">
        <v>107</v>
      </c>
      <c r="N37" s="25" t="s">
        <v>108</v>
      </c>
      <c r="O37" s="27">
        <v>39805</v>
      </c>
    </row>
    <row r="38" spans="1:19" x14ac:dyDescent="0.2">
      <c r="A38" t="s">
        <v>1</v>
      </c>
      <c r="C38" s="3">
        <v>2106415.1</v>
      </c>
      <c r="D38" s="3">
        <v>2114392.2000000002</v>
      </c>
      <c r="E38" s="3">
        <v>2122386.4</v>
      </c>
      <c r="F38" s="3">
        <v>2128461.4</v>
      </c>
      <c r="G38" s="3">
        <v>2133867.2999999998</v>
      </c>
      <c r="H38" s="3">
        <v>2135880.7000000002</v>
      </c>
      <c r="I38" s="3">
        <v>2137451</v>
      </c>
      <c r="J38" s="3">
        <v>2138994.9</v>
      </c>
      <c r="K38" s="3">
        <v>2140024.7000000002</v>
      </c>
      <c r="L38" s="3">
        <v>2142917.2999999998</v>
      </c>
      <c r="M38" s="3">
        <v>2147514.4</v>
      </c>
      <c r="N38" s="3">
        <v>2155230.9</v>
      </c>
      <c r="O38" s="3">
        <v>2162066.7999999998</v>
      </c>
      <c r="Q38" s="3">
        <f>SUM(O38-C38)</f>
        <v>55651.699999999721</v>
      </c>
    </row>
    <row r="39" spans="1:19" x14ac:dyDescent="0.2">
      <c r="A39" t="s">
        <v>19</v>
      </c>
      <c r="C39" s="3">
        <v>1780.4</v>
      </c>
      <c r="D39" s="3">
        <v>1853.65</v>
      </c>
      <c r="E39" s="3">
        <v>1910.75</v>
      </c>
      <c r="F39" s="3">
        <v>1957.4</v>
      </c>
      <c r="G39" s="3">
        <v>2045.55</v>
      </c>
      <c r="H39" s="3">
        <v>2097.1</v>
      </c>
      <c r="I39" s="3">
        <v>2165.52</v>
      </c>
      <c r="J39" s="3">
        <v>2216.54</v>
      </c>
      <c r="K39" s="3">
        <v>2255.31</v>
      </c>
      <c r="L39" s="3">
        <v>2347.0700000000002</v>
      </c>
      <c r="M39" s="3">
        <v>2403.5</v>
      </c>
      <c r="N39" s="3">
        <v>2498.3000000000002</v>
      </c>
      <c r="O39" s="3">
        <v>2554.19</v>
      </c>
      <c r="R39" s="3">
        <f>SUM(O39-C39)</f>
        <v>773.79</v>
      </c>
      <c r="S39" t="s">
        <v>34</v>
      </c>
    </row>
    <row r="40" spans="1:19" x14ac:dyDescent="0.2">
      <c r="A40" t="s">
        <v>2</v>
      </c>
      <c r="C40" s="3">
        <v>178801.97</v>
      </c>
      <c r="D40" s="3">
        <v>179460.3</v>
      </c>
      <c r="E40" s="3">
        <v>180128.91</v>
      </c>
      <c r="F40" s="3">
        <v>180668.59</v>
      </c>
      <c r="G40" s="3">
        <v>181048.2</v>
      </c>
      <c r="H40" s="3">
        <v>181073.95</v>
      </c>
      <c r="I40" s="3">
        <v>181073.95</v>
      </c>
      <c r="J40" s="3">
        <v>181073.95</v>
      </c>
      <c r="K40" s="3">
        <v>181073.94</v>
      </c>
      <c r="L40" s="3">
        <v>181224.2</v>
      </c>
      <c r="M40" s="3">
        <v>181564.4</v>
      </c>
      <c r="N40" s="3">
        <v>182170.57</v>
      </c>
      <c r="O40" s="3">
        <v>182717.2</v>
      </c>
      <c r="Q40" s="3">
        <f>SUM(O40-C40)</f>
        <v>3915.2300000000105</v>
      </c>
    </row>
    <row r="41" spans="1:19" x14ac:dyDescent="0.2">
      <c r="A41" t="s">
        <v>3</v>
      </c>
      <c r="C41" s="3">
        <v>24388.83</v>
      </c>
      <c r="D41" s="3">
        <v>25260</v>
      </c>
      <c r="E41" s="3">
        <v>26176.86</v>
      </c>
      <c r="F41" s="3">
        <v>26834.94</v>
      </c>
      <c r="G41" s="3">
        <v>27533.23</v>
      </c>
      <c r="H41" s="3">
        <v>27729.38</v>
      </c>
      <c r="I41" s="3">
        <v>27846.06</v>
      </c>
      <c r="J41" s="3">
        <v>27957.24</v>
      </c>
      <c r="K41" s="3">
        <v>28040.799999999999</v>
      </c>
      <c r="L41" s="3">
        <v>28361.24</v>
      </c>
      <c r="M41" s="3">
        <v>28861.77</v>
      </c>
      <c r="N41" s="3">
        <v>29596.7</v>
      </c>
      <c r="O41" s="3">
        <v>30256.97</v>
      </c>
      <c r="Q41" s="3">
        <f>SUM(O41-C41)</f>
        <v>5868.1399999999994</v>
      </c>
    </row>
    <row r="44" spans="1:19" ht="15.75" x14ac:dyDescent="0.25">
      <c r="A44" s="1">
        <v>2009</v>
      </c>
      <c r="B44" s="25" t="s">
        <v>69</v>
      </c>
      <c r="C44" s="26" t="s">
        <v>6</v>
      </c>
      <c r="D44" s="26" t="s">
        <v>7</v>
      </c>
      <c r="E44" s="26" t="s">
        <v>8</v>
      </c>
      <c r="F44" s="26" t="s">
        <v>9</v>
      </c>
      <c r="G44" s="26" t="s">
        <v>10</v>
      </c>
      <c r="H44" s="26" t="s">
        <v>11</v>
      </c>
      <c r="I44" s="26" t="s">
        <v>12</v>
      </c>
      <c r="J44" s="26" t="s">
        <v>13</v>
      </c>
      <c r="K44" s="26" t="s">
        <v>14</v>
      </c>
      <c r="L44" s="26" t="s">
        <v>15</v>
      </c>
      <c r="M44" s="26" t="s">
        <v>16</v>
      </c>
      <c r="N44" s="26" t="s">
        <v>17</v>
      </c>
      <c r="O44" s="25"/>
    </row>
    <row r="45" spans="1:19" x14ac:dyDescent="0.2">
      <c r="B45" s="25"/>
      <c r="C45" s="27">
        <v>39805</v>
      </c>
      <c r="D45" s="27">
        <v>39846</v>
      </c>
      <c r="E45" s="27">
        <v>39874</v>
      </c>
      <c r="F45" s="27">
        <v>39904</v>
      </c>
      <c r="G45" s="27">
        <v>39933</v>
      </c>
      <c r="H45" s="27">
        <v>39966</v>
      </c>
      <c r="I45" s="27">
        <v>39996</v>
      </c>
      <c r="J45" s="27">
        <v>40024</v>
      </c>
      <c r="K45" s="27">
        <v>40057</v>
      </c>
      <c r="L45" s="28">
        <v>40088</v>
      </c>
      <c r="M45" s="27">
        <v>40119</v>
      </c>
      <c r="N45" s="27">
        <v>40148</v>
      </c>
      <c r="O45" s="27">
        <v>40170</v>
      </c>
    </row>
    <row r="46" spans="1:19" x14ac:dyDescent="0.2">
      <c r="A46" t="s">
        <v>1</v>
      </c>
      <c r="C46" s="3">
        <v>2162066.7999999998</v>
      </c>
      <c r="D46" s="3">
        <v>2177160.9</v>
      </c>
      <c r="E46" s="3">
        <v>2186334.4</v>
      </c>
      <c r="F46" s="3">
        <v>2194175</v>
      </c>
      <c r="G46" s="3">
        <v>2197006.2000000002</v>
      </c>
      <c r="H46" s="3">
        <v>2199333.4</v>
      </c>
      <c r="I46" s="3">
        <v>2201202</v>
      </c>
      <c r="J46" s="3">
        <v>2202639.4</v>
      </c>
      <c r="K46" s="3">
        <v>2204082.9</v>
      </c>
      <c r="L46" s="3">
        <v>2206268.2999999998</v>
      </c>
      <c r="M46" s="3">
        <v>2211097</v>
      </c>
      <c r="N46" s="3">
        <v>2217445.1</v>
      </c>
      <c r="O46" s="3">
        <v>2225184</v>
      </c>
      <c r="Q46" s="3">
        <f>SUM(O46-C46)</f>
        <v>63117.200000000186</v>
      </c>
    </row>
    <row r="47" spans="1:19" x14ac:dyDescent="0.2">
      <c r="A47" t="s">
        <v>19</v>
      </c>
      <c r="C47" s="3">
        <v>2554.19</v>
      </c>
      <c r="D47" s="3">
        <v>2614.48</v>
      </c>
      <c r="E47" s="3">
        <v>2674.37</v>
      </c>
      <c r="F47" s="3">
        <v>2780.33</v>
      </c>
      <c r="G47" s="3">
        <v>2843.1</v>
      </c>
      <c r="H47" s="3">
        <v>2894.35</v>
      </c>
      <c r="I47" s="3">
        <v>2968.65</v>
      </c>
      <c r="J47" s="3">
        <v>3034.81</v>
      </c>
      <c r="K47" s="3">
        <v>3102.1</v>
      </c>
      <c r="L47" s="3">
        <v>3190.6</v>
      </c>
      <c r="M47" s="3">
        <v>3262.61</v>
      </c>
      <c r="N47" s="3">
        <v>3381.68</v>
      </c>
      <c r="O47" s="3">
        <v>3487.6</v>
      </c>
      <c r="R47" s="3">
        <f>SUM(O47-C47)</f>
        <v>933.40999999999985</v>
      </c>
      <c r="S47" t="s">
        <v>34</v>
      </c>
    </row>
    <row r="48" spans="1:19" x14ac:dyDescent="0.2">
      <c r="A48" t="s">
        <v>2</v>
      </c>
      <c r="C48" s="3">
        <v>182717.2</v>
      </c>
      <c r="D48" s="3">
        <v>184177.8</v>
      </c>
      <c r="E48" s="3">
        <v>184891.26</v>
      </c>
      <c r="F48" s="3">
        <v>185475.02</v>
      </c>
      <c r="G48" s="3">
        <v>185575.9</v>
      </c>
      <c r="H48" s="3">
        <v>185625.65</v>
      </c>
      <c r="I48" s="3">
        <v>185625.65</v>
      </c>
      <c r="J48" s="3">
        <v>185625.60000000001</v>
      </c>
      <c r="K48" s="3">
        <v>185625.60000000001</v>
      </c>
      <c r="L48" s="3">
        <v>185657.98</v>
      </c>
      <c r="M48" s="3">
        <v>185934.74</v>
      </c>
      <c r="N48" s="3">
        <v>186348.66</v>
      </c>
      <c r="O48" s="3">
        <v>187020.91</v>
      </c>
      <c r="Q48" s="3">
        <f>SUM(O48-C48)</f>
        <v>4303.7099999999919</v>
      </c>
    </row>
    <row r="49" spans="1:19" x14ac:dyDescent="0.2">
      <c r="A49" t="s">
        <v>3</v>
      </c>
      <c r="C49" s="3">
        <v>30256.97</v>
      </c>
      <c r="D49" s="3">
        <v>31743.96</v>
      </c>
      <c r="E49" s="3">
        <v>32664.5</v>
      </c>
      <c r="F49" s="3">
        <v>33523.120000000003</v>
      </c>
      <c r="G49" s="3">
        <v>33855.620000000003</v>
      </c>
      <c r="H49" s="3">
        <v>34146.866999999998</v>
      </c>
      <c r="I49" s="3">
        <v>34366.273999999998</v>
      </c>
      <c r="J49" s="3">
        <v>34541.46</v>
      </c>
      <c r="K49" s="3">
        <v>34644.26</v>
      </c>
      <c r="L49" s="3">
        <v>34889.442000000003</v>
      </c>
      <c r="M49" s="3">
        <v>35455.78</v>
      </c>
      <c r="N49" s="3">
        <v>36236.35</v>
      </c>
      <c r="O49" s="3">
        <v>37054.745000000003</v>
      </c>
      <c r="Q49" s="3">
        <f>SUM(O49-C49)</f>
        <v>6797.7750000000015</v>
      </c>
    </row>
    <row r="52" spans="1:19" ht="15.75" x14ac:dyDescent="0.25">
      <c r="A52" s="1">
        <v>2010</v>
      </c>
      <c r="B52" s="25" t="s">
        <v>69</v>
      </c>
      <c r="C52" s="26" t="s">
        <v>6</v>
      </c>
      <c r="D52" s="26" t="s">
        <v>7</v>
      </c>
      <c r="E52" s="26" t="s">
        <v>8</v>
      </c>
      <c r="F52" s="26" t="s">
        <v>9</v>
      </c>
      <c r="G52" s="26" t="s">
        <v>10</v>
      </c>
      <c r="H52" s="26" t="s">
        <v>11</v>
      </c>
      <c r="I52" s="26" t="s">
        <v>12</v>
      </c>
      <c r="J52" s="26" t="s">
        <v>13</v>
      </c>
      <c r="K52" s="26" t="s">
        <v>14</v>
      </c>
      <c r="L52" s="26" t="s">
        <v>15</v>
      </c>
      <c r="M52" s="26" t="s">
        <v>16</v>
      </c>
      <c r="N52" s="26" t="s">
        <v>17</v>
      </c>
      <c r="O52" s="25"/>
    </row>
    <row r="53" spans="1:19" x14ac:dyDescent="0.2">
      <c r="B53" s="25"/>
      <c r="C53" s="27">
        <v>40170</v>
      </c>
      <c r="D53" s="27">
        <v>40210</v>
      </c>
      <c r="E53" s="27">
        <v>40238</v>
      </c>
      <c r="F53" s="27">
        <v>40269</v>
      </c>
      <c r="G53" s="27">
        <v>40301</v>
      </c>
      <c r="H53" s="27">
        <v>40319</v>
      </c>
      <c r="I53" s="27">
        <v>40360</v>
      </c>
      <c r="J53" s="27">
        <v>40392</v>
      </c>
      <c r="K53" s="27">
        <v>40422</v>
      </c>
      <c r="L53" s="27">
        <v>40452</v>
      </c>
      <c r="M53" s="27">
        <v>40484</v>
      </c>
      <c r="N53" s="27">
        <v>40513</v>
      </c>
      <c r="O53" s="27">
        <v>40543</v>
      </c>
    </row>
    <row r="54" spans="1:19" x14ac:dyDescent="0.2">
      <c r="A54" t="s">
        <v>1</v>
      </c>
      <c r="C54" s="3">
        <v>2225184</v>
      </c>
      <c r="D54" s="3">
        <v>2240424.4</v>
      </c>
      <c r="E54" s="3">
        <v>2249832.7000000002</v>
      </c>
      <c r="F54" s="3">
        <v>2257140.4</v>
      </c>
      <c r="G54" s="3">
        <v>2261546.6</v>
      </c>
      <c r="H54" s="3">
        <v>2264193</v>
      </c>
      <c r="I54" s="3">
        <v>2266686.2999999998</v>
      </c>
      <c r="J54" s="3">
        <v>2268199.7999999998</v>
      </c>
      <c r="K54" s="3">
        <v>2269751</v>
      </c>
      <c r="L54" s="3">
        <v>2272953.2999999998</v>
      </c>
      <c r="M54" s="3">
        <v>2279131.2000000002</v>
      </c>
      <c r="N54" s="3">
        <v>2286583.7000000002</v>
      </c>
      <c r="O54" s="3">
        <v>2298664.2999999998</v>
      </c>
      <c r="Q54" s="3">
        <f>SUM(O54-C54)</f>
        <v>73480.299999999814</v>
      </c>
    </row>
    <row r="55" spans="1:19" x14ac:dyDescent="0.2">
      <c r="A55" t="s">
        <v>19</v>
      </c>
      <c r="C55" s="3">
        <v>3487.6</v>
      </c>
      <c r="D55" s="3">
        <v>3568.8</v>
      </c>
      <c r="E55" s="3">
        <v>3651.87</v>
      </c>
      <c r="F55" s="3">
        <v>3745.98</v>
      </c>
      <c r="G55" s="3">
        <v>3812.11</v>
      </c>
      <c r="H55" s="3">
        <v>3869.33</v>
      </c>
      <c r="I55" s="3">
        <v>3962.58</v>
      </c>
      <c r="J55" s="3">
        <v>4029.67</v>
      </c>
      <c r="K55" s="3">
        <v>4088.07</v>
      </c>
      <c r="L55" s="3">
        <v>4174.5200000000004</v>
      </c>
      <c r="M55" s="3">
        <v>4299.58</v>
      </c>
      <c r="N55" s="3">
        <v>4425.88</v>
      </c>
      <c r="O55" s="3">
        <v>4504.9399999999996</v>
      </c>
      <c r="R55" s="3">
        <f>SUM(O55-C55)</f>
        <v>1017.3399999999997</v>
      </c>
      <c r="S55" t="s">
        <v>34</v>
      </c>
    </row>
    <row r="56" spans="1:19" x14ac:dyDescent="0.2">
      <c r="A56" t="s">
        <v>2</v>
      </c>
      <c r="C56" s="3">
        <v>187020.91</v>
      </c>
      <c r="D56" s="3">
        <v>188267.5</v>
      </c>
      <c r="E56" s="3">
        <v>189018</v>
      </c>
      <c r="F56" s="3">
        <v>189585.7</v>
      </c>
      <c r="G56" s="3">
        <v>189750.17</v>
      </c>
      <c r="H56" s="3">
        <v>189875.36</v>
      </c>
      <c r="I56" s="3">
        <v>189878.74</v>
      </c>
      <c r="J56" s="3">
        <v>189878.7</v>
      </c>
      <c r="K56" s="3">
        <v>189878.74</v>
      </c>
      <c r="L56" s="3">
        <v>189972.25</v>
      </c>
      <c r="M56" s="3">
        <v>190316.79</v>
      </c>
      <c r="N56" s="3">
        <v>190859.74</v>
      </c>
      <c r="O56" s="3">
        <v>191864.4</v>
      </c>
      <c r="Q56" s="3">
        <f>SUM(O56-C56)</f>
        <v>4843.4899999999907</v>
      </c>
    </row>
    <row r="57" spans="1:19" x14ac:dyDescent="0.2">
      <c r="A57" t="s">
        <v>3</v>
      </c>
      <c r="C57" s="3">
        <v>37054.745000000003</v>
      </c>
      <c r="D57" s="3">
        <v>38561.86</v>
      </c>
      <c r="E57" s="3">
        <v>39583.4</v>
      </c>
      <c r="F57" s="3">
        <v>40402.879999999997</v>
      </c>
      <c r="G57" s="3">
        <v>40953.83</v>
      </c>
      <c r="H57" s="3">
        <v>41293.18</v>
      </c>
      <c r="I57" s="3">
        <v>41586.81</v>
      </c>
      <c r="J57" s="3">
        <v>41715.11</v>
      </c>
      <c r="K57" s="3">
        <v>41841.64</v>
      </c>
      <c r="L57" s="3">
        <v>42061.88</v>
      </c>
      <c r="M57" s="3">
        <v>42402.67</v>
      </c>
      <c r="N57" s="3">
        <v>42753.05</v>
      </c>
      <c r="O57" s="3">
        <v>43362.48</v>
      </c>
      <c r="Q57" s="3">
        <f>SUM(O57-C57)</f>
        <v>6307.7350000000006</v>
      </c>
    </row>
    <row r="60" spans="1:19" ht="15.75" x14ac:dyDescent="0.25">
      <c r="A60" s="1">
        <v>2011</v>
      </c>
      <c r="B60" s="25" t="s">
        <v>69</v>
      </c>
      <c r="C60" s="26" t="s">
        <v>6</v>
      </c>
      <c r="D60" s="26" t="s">
        <v>7</v>
      </c>
      <c r="E60" s="26" t="s">
        <v>8</v>
      </c>
      <c r="F60" s="26" t="s">
        <v>9</v>
      </c>
      <c r="G60" s="26" t="s">
        <v>10</v>
      </c>
      <c r="H60" s="26" t="s">
        <v>11</v>
      </c>
      <c r="I60" s="26" t="s">
        <v>12</v>
      </c>
      <c r="J60" s="26" t="s">
        <v>13</v>
      </c>
      <c r="K60" s="26" t="s">
        <v>14</v>
      </c>
      <c r="L60" s="26" t="s">
        <v>15</v>
      </c>
      <c r="M60" s="26" t="s">
        <v>16</v>
      </c>
      <c r="N60" s="26" t="s">
        <v>17</v>
      </c>
      <c r="O60" s="25"/>
    </row>
    <row r="61" spans="1:19" x14ac:dyDescent="0.2">
      <c r="B61" s="25"/>
      <c r="C61" s="27">
        <v>40543</v>
      </c>
      <c r="D61" s="27">
        <v>40575</v>
      </c>
      <c r="E61" s="27">
        <v>40603</v>
      </c>
      <c r="F61" s="27">
        <v>40634</v>
      </c>
      <c r="G61" s="27">
        <v>40665</v>
      </c>
      <c r="H61" s="27">
        <v>40695</v>
      </c>
      <c r="I61" s="27">
        <v>40725</v>
      </c>
      <c r="J61" s="27">
        <v>40756</v>
      </c>
      <c r="K61" s="27">
        <v>40787</v>
      </c>
      <c r="L61" s="27">
        <v>40820</v>
      </c>
      <c r="M61" s="27">
        <v>40849</v>
      </c>
      <c r="N61" s="27">
        <v>40513</v>
      </c>
      <c r="O61" s="27">
        <v>40906</v>
      </c>
    </row>
    <row r="62" spans="1:19" x14ac:dyDescent="0.2">
      <c r="A62" t="s">
        <v>1</v>
      </c>
      <c r="C62" s="3">
        <v>2298664.2999999998</v>
      </c>
      <c r="D62" s="3">
        <v>2310045.2000000002</v>
      </c>
      <c r="E62" s="3">
        <v>2319090.5</v>
      </c>
      <c r="F62" s="3">
        <v>2325257.4</v>
      </c>
      <c r="G62" s="3">
        <v>2328490.2999999998</v>
      </c>
      <c r="H62" s="3">
        <v>2330856.6</v>
      </c>
      <c r="I62" s="3">
        <v>2332407.9</v>
      </c>
      <c r="J62" s="3">
        <v>2334105.9</v>
      </c>
      <c r="K62" s="3">
        <v>2335379.9</v>
      </c>
      <c r="L62" s="3">
        <v>2337617.2000000002</v>
      </c>
      <c r="M62" s="3">
        <v>2342100.7999999998</v>
      </c>
      <c r="N62" s="3">
        <v>2349755.5</v>
      </c>
      <c r="O62" s="3">
        <v>2357818.1</v>
      </c>
      <c r="Q62" s="3">
        <f>SUM(O62-C62)</f>
        <v>59153.800000000279</v>
      </c>
    </row>
    <row r="63" spans="1:19" x14ac:dyDescent="0.2">
      <c r="A63" t="s">
        <v>19</v>
      </c>
      <c r="C63" s="3">
        <v>4504.9399999999996</v>
      </c>
      <c r="D63" s="3">
        <v>4592.7</v>
      </c>
      <c r="E63" s="3">
        <v>4706.24</v>
      </c>
      <c r="F63" s="3">
        <v>4818.6000000000004</v>
      </c>
      <c r="G63" s="3">
        <v>4881.6400000000003</v>
      </c>
      <c r="H63" s="3">
        <v>4984.8100000000004</v>
      </c>
      <c r="I63" s="3">
        <v>5057.01</v>
      </c>
      <c r="J63" s="3">
        <v>5130.07</v>
      </c>
      <c r="K63" s="3">
        <v>5176.6400000000003</v>
      </c>
      <c r="L63" s="3">
        <v>5269.02</v>
      </c>
      <c r="M63" s="3">
        <v>5375.48</v>
      </c>
      <c r="N63" s="3">
        <v>5459.88</v>
      </c>
      <c r="O63" s="3">
        <v>5530.39</v>
      </c>
      <c r="R63" s="3">
        <f>SUM(O63-C63)</f>
        <v>1025.4500000000007</v>
      </c>
      <c r="S63" t="s">
        <v>34</v>
      </c>
    </row>
    <row r="64" spans="1:19" x14ac:dyDescent="0.2">
      <c r="A64" t="s">
        <v>2</v>
      </c>
      <c r="C64" s="3">
        <v>191864.4</v>
      </c>
      <c r="D64" s="3">
        <v>192676.3</v>
      </c>
      <c r="E64" s="3">
        <v>193358.8</v>
      </c>
      <c r="F64" s="3">
        <v>193789.6</v>
      </c>
      <c r="G64" s="3">
        <v>193894.59</v>
      </c>
      <c r="H64" s="3">
        <v>193939.67</v>
      </c>
      <c r="I64" s="3">
        <v>193951.83</v>
      </c>
      <c r="J64" s="3">
        <v>193961.1</v>
      </c>
      <c r="K64" s="3">
        <v>193963.5</v>
      </c>
      <c r="L64" s="3">
        <v>194001.82</v>
      </c>
      <c r="M64" s="3">
        <v>194246.31</v>
      </c>
      <c r="N64" s="3">
        <v>194788.81</v>
      </c>
      <c r="O64" s="3">
        <v>195332.72</v>
      </c>
      <c r="Q64" s="3">
        <f>SUM(O64-C64)</f>
        <v>3468.320000000007</v>
      </c>
    </row>
    <row r="65" spans="1:19" x14ac:dyDescent="0.2">
      <c r="A65" t="s">
        <v>3</v>
      </c>
      <c r="C65" s="3">
        <v>43362.48</v>
      </c>
      <c r="D65" s="3">
        <v>43921.85</v>
      </c>
      <c r="E65" s="3">
        <v>44356.754000000001</v>
      </c>
      <c r="F65" s="3">
        <v>44755.98</v>
      </c>
      <c r="G65" s="3">
        <v>44958.91</v>
      </c>
      <c r="H65" s="3">
        <v>45098.144999999997</v>
      </c>
      <c r="I65" s="3">
        <v>45201.866999999998</v>
      </c>
      <c r="J65" s="3">
        <v>45309.101999999999</v>
      </c>
      <c r="K65" s="3">
        <v>45388.3</v>
      </c>
      <c r="L65" s="3">
        <v>45499.93</v>
      </c>
      <c r="M65" s="3">
        <v>45723</v>
      </c>
      <c r="N65" s="3">
        <v>46048.608999999997</v>
      </c>
      <c r="O65" s="3">
        <v>46421.5</v>
      </c>
      <c r="Q65" s="3">
        <f>SUM(O65-C65)</f>
        <v>3059.0199999999968</v>
      </c>
    </row>
    <row r="68" spans="1:19" ht="15.75" x14ac:dyDescent="0.25">
      <c r="A68" s="1">
        <v>2012</v>
      </c>
      <c r="B68" s="25" t="s">
        <v>69</v>
      </c>
      <c r="C68" s="26" t="s">
        <v>6</v>
      </c>
      <c r="D68" s="26" t="s">
        <v>7</v>
      </c>
      <c r="E68" s="26" t="s">
        <v>8</v>
      </c>
      <c r="F68" s="26" t="s">
        <v>9</v>
      </c>
      <c r="G68" s="26" t="s">
        <v>10</v>
      </c>
      <c r="H68" s="26" t="s">
        <v>11</v>
      </c>
      <c r="I68" s="26" t="s">
        <v>12</v>
      </c>
      <c r="J68" s="26" t="s">
        <v>13</v>
      </c>
      <c r="K68" s="26" t="s">
        <v>14</v>
      </c>
      <c r="L68" s="26" t="s">
        <v>15</v>
      </c>
      <c r="M68" s="26" t="s">
        <v>16</v>
      </c>
      <c r="N68" s="26" t="s">
        <v>17</v>
      </c>
      <c r="O68" s="25"/>
    </row>
    <row r="69" spans="1:19" x14ac:dyDescent="0.2">
      <c r="B69" s="25"/>
      <c r="C69" s="27">
        <v>40908</v>
      </c>
      <c r="D69" s="27">
        <v>40940</v>
      </c>
      <c r="E69" s="27">
        <v>40969</v>
      </c>
      <c r="F69" s="27">
        <v>41000</v>
      </c>
      <c r="G69" s="27">
        <v>41031</v>
      </c>
      <c r="H69" s="27">
        <v>41061</v>
      </c>
      <c r="I69" s="27">
        <v>41092</v>
      </c>
      <c r="J69" s="27">
        <v>41117</v>
      </c>
      <c r="K69" s="27">
        <v>41153</v>
      </c>
      <c r="L69" s="27">
        <v>41183</v>
      </c>
      <c r="M69" s="27">
        <v>41218</v>
      </c>
      <c r="N69" s="27">
        <v>41247</v>
      </c>
      <c r="O69" s="27">
        <v>41272</v>
      </c>
    </row>
    <row r="70" spans="1:19" x14ac:dyDescent="0.2">
      <c r="A70" t="s">
        <v>1</v>
      </c>
      <c r="C70" s="3">
        <v>2357818.1</v>
      </c>
      <c r="D70" s="3">
        <v>2369216</v>
      </c>
      <c r="E70" s="3">
        <v>2381300</v>
      </c>
      <c r="F70" s="3">
        <v>2387206.2000000002</v>
      </c>
      <c r="G70" s="3">
        <v>2391485.2000000002</v>
      </c>
      <c r="H70" s="3">
        <v>2393713.2000000002</v>
      </c>
      <c r="I70" s="3">
        <v>2395448</v>
      </c>
      <c r="J70" s="3">
        <v>2396698.4</v>
      </c>
      <c r="K70" s="3">
        <v>2398171.7999999998</v>
      </c>
      <c r="L70" s="3">
        <v>2400338.7999999998</v>
      </c>
      <c r="M70" s="3">
        <v>2405921.7000000002</v>
      </c>
      <c r="N70" s="3">
        <v>2413599.7999999998</v>
      </c>
      <c r="O70" s="3">
        <v>2424091</v>
      </c>
      <c r="Q70" s="3">
        <f>SUM(O70-C70)</f>
        <v>66272.899999999907</v>
      </c>
    </row>
    <row r="71" spans="1:19" x14ac:dyDescent="0.2">
      <c r="A71" t="s">
        <v>19</v>
      </c>
      <c r="C71" s="3">
        <v>5530.39</v>
      </c>
      <c r="D71" s="3">
        <v>5630.1</v>
      </c>
      <c r="E71" s="3">
        <v>5708.23</v>
      </c>
      <c r="F71" s="3">
        <v>5799.36</v>
      </c>
      <c r="G71" s="3">
        <v>5855.52</v>
      </c>
      <c r="H71" s="3">
        <v>5939.37</v>
      </c>
      <c r="I71" s="3">
        <v>5997.71</v>
      </c>
      <c r="J71" s="3">
        <v>6046.2</v>
      </c>
      <c r="K71" s="3">
        <v>6072.92</v>
      </c>
      <c r="L71" s="3">
        <v>6145.24</v>
      </c>
      <c r="M71" s="3">
        <v>6231.2</v>
      </c>
      <c r="N71" s="3">
        <v>6310.58</v>
      </c>
      <c r="O71" s="3">
        <v>6377.84</v>
      </c>
      <c r="R71" s="3">
        <f>SUM(O71-C71)</f>
        <v>847.44999999999982</v>
      </c>
      <c r="S71" t="s">
        <v>34</v>
      </c>
    </row>
    <row r="72" spans="1:19" x14ac:dyDescent="0.2">
      <c r="A72" t="s">
        <v>2</v>
      </c>
      <c r="C72" s="3">
        <v>195332.72</v>
      </c>
      <c r="D72" s="3">
        <v>196181.74</v>
      </c>
      <c r="E72" s="3">
        <v>197076.83</v>
      </c>
      <c r="F72" s="3">
        <v>197446.79</v>
      </c>
      <c r="G72" s="3">
        <v>197623.46</v>
      </c>
      <c r="H72" s="3">
        <v>197671.1</v>
      </c>
      <c r="I72" s="3">
        <v>197671.1</v>
      </c>
      <c r="J72" s="3">
        <v>197671.1</v>
      </c>
      <c r="K72" s="3">
        <v>197671.1</v>
      </c>
      <c r="L72" s="3">
        <v>197716.72</v>
      </c>
      <c r="M72" s="3">
        <v>197994.21</v>
      </c>
      <c r="N72" s="3">
        <v>198532.09</v>
      </c>
      <c r="O72" s="3">
        <v>199225.12</v>
      </c>
      <c r="Q72" s="3">
        <f>SUM(O72-C72)</f>
        <v>3892.3999999999942</v>
      </c>
    </row>
    <row r="73" spans="1:19" x14ac:dyDescent="0.2">
      <c r="A73" t="s">
        <v>3</v>
      </c>
      <c r="C73" s="3">
        <v>46421.5</v>
      </c>
      <c r="D73" s="3">
        <v>46926.54</v>
      </c>
      <c r="E73" s="3">
        <v>47541.34</v>
      </c>
      <c r="F73" s="3">
        <v>47873.73</v>
      </c>
      <c r="G73" s="3">
        <v>48176.32</v>
      </c>
      <c r="H73" s="3">
        <v>111.32</v>
      </c>
      <c r="I73" s="3">
        <v>197.102</v>
      </c>
      <c r="J73" s="3">
        <v>259.55</v>
      </c>
      <c r="K73" s="3">
        <v>343.21</v>
      </c>
      <c r="L73" s="3">
        <v>436.32</v>
      </c>
      <c r="M73" s="3">
        <v>702.15</v>
      </c>
      <c r="N73" s="3">
        <v>1067.0889999999999</v>
      </c>
      <c r="O73" s="3">
        <v>1599.1869999999999</v>
      </c>
      <c r="Q73" s="3">
        <f>SUM(O73-C73)</f>
        <v>-44822.313000000002</v>
      </c>
    </row>
  </sheetData>
  <phoneticPr fontId="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DBE8-A9EF-48B7-B17F-8134D791ECBE}">
  <sheetPr>
    <tabColor indexed="43"/>
  </sheetPr>
  <dimension ref="A1:P64"/>
  <sheetViews>
    <sheetView topLeftCell="A36" workbookViewId="0">
      <selection activeCell="I67" sqref="I67"/>
    </sheetView>
  </sheetViews>
  <sheetFormatPr baseColWidth="10" defaultRowHeight="12.75" x14ac:dyDescent="0.2"/>
  <cols>
    <col min="1" max="1" width="28.7109375" customWidth="1"/>
    <col min="2" max="2" width="5.85546875" customWidth="1"/>
    <col min="4" max="4" width="12.42578125" customWidth="1"/>
    <col min="5" max="5" width="13" customWidth="1"/>
    <col min="6" max="6" width="12.140625" customWidth="1"/>
    <col min="7" max="7" width="12" customWidth="1"/>
    <col min="8" max="8" width="12.140625" customWidth="1"/>
    <col min="9" max="9" width="12.7109375" customWidth="1"/>
    <col min="10" max="10" width="12.5703125" customWidth="1"/>
    <col min="11" max="11" width="12.42578125" customWidth="1"/>
    <col min="12" max="12" width="13.7109375" customWidth="1"/>
    <col min="13" max="13" width="12.7109375" customWidth="1"/>
    <col min="14" max="14" width="12.28515625" customWidth="1"/>
    <col min="16" max="16" width="12.28515625" customWidth="1"/>
  </cols>
  <sheetData>
    <row r="1" spans="1:16" ht="15.75" x14ac:dyDescent="0.25">
      <c r="A1" s="1" t="s">
        <v>85</v>
      </c>
    </row>
    <row r="2" spans="1:16" ht="15.75" x14ac:dyDescent="0.25">
      <c r="A2" s="1">
        <f>'Ablesewerte Gas'!A2</f>
        <v>2005</v>
      </c>
      <c r="B2" s="15" t="str">
        <f>'Ablesewerte Gas'!B2</f>
        <v>m³</v>
      </c>
      <c r="C2" s="15" t="str">
        <f>'Ablesewerte Gas'!C2</f>
        <v>Jan</v>
      </c>
      <c r="D2" s="15" t="str">
        <f>'Ablesewerte Gas'!D2</f>
        <v>Feb</v>
      </c>
      <c r="E2" s="15" t="str">
        <f>'Ablesewerte Gas'!E2</f>
        <v>Mrz</v>
      </c>
      <c r="F2" s="15" t="str">
        <f>'Ablesewerte Gas'!F2</f>
        <v>Apr</v>
      </c>
      <c r="G2" s="15" t="str">
        <f>'Ablesewerte Gas'!G2</f>
        <v>Mai</v>
      </c>
      <c r="H2" s="15" t="str">
        <f>'Ablesewerte Gas'!H2</f>
        <v>Jun</v>
      </c>
      <c r="I2" s="15" t="str">
        <f>'Ablesewerte Gas'!I2</f>
        <v>Jul</v>
      </c>
      <c r="J2" s="15" t="str">
        <f>'Ablesewerte Gas'!J2</f>
        <v>Aug</v>
      </c>
      <c r="K2" s="15" t="str">
        <f>'Ablesewerte Gas'!K2</f>
        <v>Sep</v>
      </c>
      <c r="L2" s="15" t="str">
        <f>'Ablesewerte Gas'!L2</f>
        <v>Okt</v>
      </c>
      <c r="M2" s="15" t="str">
        <f>'Ablesewerte Gas'!M2</f>
        <v>Nov</v>
      </c>
      <c r="N2" s="15" t="str">
        <f>'Ablesewerte Gas'!N2</f>
        <v>Dez</v>
      </c>
    </row>
    <row r="3" spans="1:16" x14ac:dyDescent="0.2"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</row>
    <row r="4" spans="1:16" x14ac:dyDescent="0.2">
      <c r="A4" t="str">
        <f>'Ablesewerte Gas'!A4</f>
        <v>Hauptzähler Internat</v>
      </c>
      <c r="C4" s="3">
        <f>SUM('Ablesewerte Gas'!D4-'Ablesewerte Gas'!C4)</f>
        <v>9835.6999999999534</v>
      </c>
      <c r="D4" s="3">
        <f>SUM('Ablesewerte Gas'!E4-'Ablesewerte Gas'!D4)</f>
        <v>10927</v>
      </c>
      <c r="E4" s="3">
        <f>SUM('Ablesewerte Gas'!F4-'Ablesewerte Gas'!E4)</f>
        <v>8081.7000000001863</v>
      </c>
      <c r="F4" s="3">
        <f>SUM('Ablesewerte Gas'!G4-'Ablesewerte Gas'!F4)</f>
        <v>4901.6999999999534</v>
      </c>
      <c r="G4" s="3">
        <f>SUM('Ablesewerte Gas'!H4-'Ablesewerte Gas'!G4)</f>
        <v>2643.8000000000466</v>
      </c>
      <c r="H4" s="3">
        <f>SUM('Ablesewerte Gas'!I4-'Ablesewerte Gas'!H4)</f>
        <v>1608.5999999998603</v>
      </c>
      <c r="I4" s="3">
        <f>SUM('Ablesewerte Gas'!J4-'Ablesewerte Gas'!I4)</f>
        <v>1288.9000000001397</v>
      </c>
      <c r="J4" s="3">
        <f>SUM('Ablesewerte Gas'!K4-'Ablesewerte Gas'!J4)</f>
        <v>1414.2999999998137</v>
      </c>
      <c r="K4" s="3">
        <f>SUM('Ablesewerte Gas'!L4-'Ablesewerte Gas'!K4)</f>
        <v>2414.4000000001397</v>
      </c>
      <c r="L4" s="3">
        <f>SUM('Ablesewerte Gas'!M4-'Ablesewerte Gas'!L4)</f>
        <v>4651.8999999999069</v>
      </c>
      <c r="M4" s="3">
        <f>SUM('Ablesewerte Gas'!N4-'Ablesewerte Gas'!M4)</f>
        <v>8259.9000000001397</v>
      </c>
      <c r="N4" s="3">
        <f>SUM('Ablesewerte Gas'!O4-'Ablesewerte Gas'!N4)</f>
        <v>12966.899999999907</v>
      </c>
    </row>
    <row r="5" spans="1:16" x14ac:dyDescent="0.2">
      <c r="A5" t="str">
        <f>'Ablesewerte Gas'!A5</f>
        <v>Zwischenzähler Küche</v>
      </c>
      <c r="C5" s="3">
        <v>0</v>
      </c>
      <c r="D5" s="3">
        <f>SUM('Ablesewerte Gas'!E5-'Ablesewerte Gas'!D5)</f>
        <v>27.15</v>
      </c>
      <c r="E5" s="3">
        <f>SUM('Ablesewerte Gas'!F5-'Ablesewerte Gas'!E5)</f>
        <v>41.330000000000005</v>
      </c>
      <c r="F5" s="3">
        <f>SUM('Ablesewerte Gas'!G5-'Ablesewerte Gas'!F5)</f>
        <v>42.33</v>
      </c>
      <c r="G5" s="3">
        <f>SUM('Ablesewerte Gas'!H5-'Ablesewerte Gas'!G5)</f>
        <v>28.590000000000003</v>
      </c>
      <c r="H5" s="3">
        <f>SUM('Ablesewerte Gas'!I5-'Ablesewerte Gas'!H5)</f>
        <v>48.699999999999989</v>
      </c>
      <c r="I5" s="3">
        <f>SUM('Ablesewerte Gas'!J5-'Ablesewerte Gas'!I5)</f>
        <v>39.900000000000006</v>
      </c>
      <c r="J5" s="3">
        <f>SUM('Ablesewerte Gas'!K5-'Ablesewerte Gas'!J5)</f>
        <v>55.610000000000014</v>
      </c>
      <c r="K5" s="3">
        <f>SUM('Ablesewerte Gas'!L5-'Ablesewerte Gas'!K5)</f>
        <v>56.529999999999973</v>
      </c>
      <c r="L5" s="3">
        <f>SUM('Ablesewerte Gas'!M5-'Ablesewerte Gas'!L5)</f>
        <v>57.25</v>
      </c>
      <c r="M5" s="3">
        <f>SUM('Ablesewerte Gas'!N5-'Ablesewerte Gas'!M5)</f>
        <v>57.75</v>
      </c>
      <c r="N5" s="3">
        <f>SUM('Ablesewerte Gas'!O5-'Ablesewerte Gas'!N5)</f>
        <v>44.080000000000041</v>
      </c>
    </row>
    <row r="6" spans="1:16" x14ac:dyDescent="0.2">
      <c r="A6" t="str">
        <f>'Ablesewerte Gas'!A6</f>
        <v>alte Aula</v>
      </c>
      <c r="C6" s="3">
        <f>SUM('Ablesewerte Gas'!D6-'Ablesewerte Gas'!C6)</f>
        <v>936.02999999999884</v>
      </c>
      <c r="D6" s="3">
        <f>SUM('Ablesewerte Gas'!E6-'Ablesewerte Gas'!D6)</f>
        <v>995.61000000000058</v>
      </c>
      <c r="E6" s="3">
        <f>SUM('Ablesewerte Gas'!F6-'Ablesewerte Gas'!E6)</f>
        <v>986.44999999999709</v>
      </c>
      <c r="F6" s="3">
        <f>SUM('Ablesewerte Gas'!G6-'Ablesewerte Gas'!F6)</f>
        <v>678.16000000000349</v>
      </c>
      <c r="G6" s="3">
        <f>SUM('Ablesewerte Gas'!H6-'Ablesewerte Gas'!G6)</f>
        <v>152.45999999999185</v>
      </c>
      <c r="H6" s="3">
        <f>SUM('Ablesewerte Gas'!I6-'Ablesewerte Gas'!H6)</f>
        <v>0</v>
      </c>
      <c r="I6" s="3">
        <f>SUM('Ablesewerte Gas'!J6-'Ablesewerte Gas'!I6)</f>
        <v>0</v>
      </c>
      <c r="J6" s="3">
        <f>SUM('Ablesewerte Gas'!K6-'Ablesewerte Gas'!J6)</f>
        <v>0</v>
      </c>
      <c r="K6" s="3">
        <f>SUM('Ablesewerte Gas'!L6-'Ablesewerte Gas'!K6)</f>
        <v>40.560000000012224</v>
      </c>
      <c r="L6" s="3">
        <f>SUM('Ablesewerte Gas'!M6-'Ablesewerte Gas'!L6)</f>
        <v>553.48999999999069</v>
      </c>
      <c r="M6" s="3">
        <f>SUM('Ablesewerte Gas'!N6-'Ablesewerte Gas'!M6)</f>
        <v>982.27000000000407</v>
      </c>
      <c r="N6" s="3">
        <f>SUM('Ablesewerte Gas'!O6-'Ablesewerte Gas'!N6)</f>
        <v>1462.75</v>
      </c>
      <c r="O6" s="3" t="s">
        <v>35</v>
      </c>
    </row>
    <row r="7" spans="1:16" x14ac:dyDescent="0.2">
      <c r="A7" t="str">
        <f>'Ablesewerte Gas'!A7</f>
        <v>Lichtenstern 13</v>
      </c>
      <c r="C7" s="3">
        <f>SUM('Ablesewerte Gas'!D7-'Ablesewerte Gas'!C7)</f>
        <v>894.20899999999938</v>
      </c>
      <c r="D7" s="3">
        <f>SUM('Ablesewerte Gas'!E7-'Ablesewerte Gas'!D7)</f>
        <v>999.21200000000044</v>
      </c>
      <c r="E7" s="3">
        <f>SUM('Ablesewerte Gas'!F7-'Ablesewerte Gas'!E7)</f>
        <v>975.74799999999959</v>
      </c>
      <c r="F7" s="3">
        <f>SUM('Ablesewerte Gas'!G7-'Ablesewerte Gas'!F7)</f>
        <v>529.8760000000002</v>
      </c>
      <c r="G7" s="3">
        <f>SUM('Ablesewerte Gas'!H7-'Ablesewerte Gas'!G7)</f>
        <v>295.18000000000029</v>
      </c>
      <c r="H7" s="3">
        <f>SUM('Ablesewerte Gas'!I7-'Ablesewerte Gas'!H7)</f>
        <v>204.42000000000007</v>
      </c>
      <c r="I7" s="3">
        <f>SUM('Ablesewerte Gas'!J7-'Ablesewerte Gas'!I7)</f>
        <v>159.46000000000004</v>
      </c>
      <c r="J7" s="3">
        <f>SUM('Ablesewerte Gas'!K7-'Ablesewerte Gas'!J7)</f>
        <v>164.64999999999964</v>
      </c>
      <c r="K7" s="3">
        <f>SUM('Ablesewerte Gas'!L7-'Ablesewerte Gas'!K7)</f>
        <v>295.13000000000011</v>
      </c>
      <c r="L7" s="3">
        <f>SUM('Ablesewerte Gas'!M7-'Ablesewerte Gas'!L7)</f>
        <v>526.13000000000011</v>
      </c>
      <c r="M7" s="3">
        <f>SUM('Ablesewerte Gas'!N7-'Ablesewerte Gas'!M7)</f>
        <v>815.60000000000036</v>
      </c>
      <c r="N7" s="3">
        <f>SUM('Ablesewerte Gas'!O7-'Ablesewerte Gas'!N7)</f>
        <v>1336.75</v>
      </c>
      <c r="P7" s="3">
        <f>SUM(C7:O7)</f>
        <v>7196.3649999999998</v>
      </c>
    </row>
    <row r="8" spans="1:16" x14ac:dyDescent="0.2">
      <c r="A8" t="s">
        <v>35</v>
      </c>
    </row>
    <row r="9" spans="1:16" ht="15.75" x14ac:dyDescent="0.25">
      <c r="A9" s="1"/>
    </row>
    <row r="10" spans="1:16" ht="15.75" x14ac:dyDescent="0.25">
      <c r="A10" s="1">
        <f>'Ablesewerte Gas'!A16</f>
        <v>2006</v>
      </c>
      <c r="B10" s="15" t="str">
        <f>'Ablesewerte Gas'!B16</f>
        <v>m³</v>
      </c>
      <c r="C10" s="15" t="str">
        <f>'Ablesewerte Gas'!C16</f>
        <v>Jan</v>
      </c>
      <c r="D10" s="15" t="str">
        <f>'Ablesewerte Gas'!D16</f>
        <v>Feb</v>
      </c>
      <c r="E10" s="15" t="str">
        <f>'Ablesewerte Gas'!E16</f>
        <v>Mrz</v>
      </c>
      <c r="F10" s="15" t="str">
        <f>'Ablesewerte Gas'!F16</f>
        <v>Apr</v>
      </c>
      <c r="G10" s="15" t="str">
        <f>'Ablesewerte Gas'!G16</f>
        <v>Mai</v>
      </c>
      <c r="H10" s="15" t="str">
        <f>'Ablesewerte Gas'!H16</f>
        <v>Jun</v>
      </c>
      <c r="I10" s="15" t="str">
        <f>'Ablesewerte Gas'!I16</f>
        <v>Jul</v>
      </c>
      <c r="J10" s="15" t="str">
        <f>'Ablesewerte Gas'!J16</f>
        <v>Aug</v>
      </c>
      <c r="K10" s="15" t="str">
        <f>'Ablesewerte Gas'!K16</f>
        <v>Sep</v>
      </c>
      <c r="L10" s="15" t="str">
        <f>'Ablesewerte Gas'!L16</f>
        <v>Okt</v>
      </c>
      <c r="M10" s="15" t="str">
        <f>'Ablesewerte Gas'!M16</f>
        <v>Nov</v>
      </c>
      <c r="N10" s="15" t="str">
        <f>'Ablesewerte Gas'!N16</f>
        <v>Dez</v>
      </c>
    </row>
    <row r="11" spans="1:16" x14ac:dyDescent="0.2"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</row>
    <row r="12" spans="1:16" x14ac:dyDescent="0.2">
      <c r="A12" t="str">
        <f>'Ablesewerte Gas'!A18</f>
        <v>Hauptzähler Internat</v>
      </c>
      <c r="C12" s="3">
        <f>'Ablesewerte Gas'!D18-'Ablesewerte Gas'!C18</f>
        <v>10380.699999999953</v>
      </c>
      <c r="D12" s="3">
        <f>'Ablesewerte Gas'!E18-'Ablesewerte Gas'!D18</f>
        <v>11750.300000000047</v>
      </c>
      <c r="E12" s="3">
        <f>'Ablesewerte Gas'!F18-'Ablesewerte Gas'!E18</f>
        <v>7939.8999999999069</v>
      </c>
      <c r="F12" s="3">
        <f>'Ablesewerte Gas'!G18-'Ablesewerte Gas'!F18</f>
        <v>4215.4000000001397</v>
      </c>
      <c r="G12" s="3">
        <f>'Ablesewerte Gas'!H18-'Ablesewerte Gas'!G18</f>
        <v>2273</v>
      </c>
      <c r="H12" s="3">
        <f>'Ablesewerte Gas'!I18-'Ablesewerte Gas'!H18</f>
        <v>1949.3000000000466</v>
      </c>
      <c r="I12" s="3">
        <f>'Ablesewerte Gas'!J18-'Ablesewerte Gas'!I18</f>
        <v>1500.5</v>
      </c>
      <c r="J12" s="3">
        <f>'Ablesewerte Gas'!K18-'Ablesewerte Gas'!J18</f>
        <v>1570.7999999998137</v>
      </c>
      <c r="K12" s="3">
        <f>'Ablesewerte Gas'!L18-'Ablesewerte Gas'!K18</f>
        <v>1812.9000000001397</v>
      </c>
      <c r="L12" s="3">
        <f>'Ablesewerte Gas'!M18-'Ablesewerte Gas'!L18</f>
        <v>3447.0999999998603</v>
      </c>
      <c r="M12" s="3">
        <f>'Ablesewerte Gas'!N18-'Ablesewerte Gas'!M18</f>
        <v>6564.1000000000931</v>
      </c>
      <c r="N12" s="3">
        <f>'Ablesewerte Gas'!O18-'Ablesewerte Gas'!N18</f>
        <v>5991.1000000000931</v>
      </c>
    </row>
    <row r="13" spans="1:16" x14ac:dyDescent="0.2">
      <c r="A13" t="str">
        <f>'Ablesewerte Gas'!A19</f>
        <v>Zwischenzähler Küche</v>
      </c>
      <c r="C13" s="3">
        <f>'Ablesewerte Gas'!D19-'Ablesewerte Gas'!C19</f>
        <v>51.480000000000018</v>
      </c>
      <c r="D13" s="3">
        <f>'Ablesewerte Gas'!E19-'Ablesewerte Gas'!D19</f>
        <v>57.659999999999968</v>
      </c>
      <c r="E13" s="3">
        <f>'Ablesewerte Gas'!F19-'Ablesewerte Gas'!E19</f>
        <v>63.100000000000023</v>
      </c>
      <c r="F13" s="3">
        <f>'Ablesewerte Gas'!G19-'Ablesewerte Gas'!F19</f>
        <v>40.360000000000014</v>
      </c>
      <c r="G13" s="3">
        <f>'Ablesewerte Gas'!H19-'Ablesewerte Gas'!G19</f>
        <v>35.639999999999986</v>
      </c>
      <c r="H13" s="3">
        <f>'Ablesewerte Gas'!I19-'Ablesewerte Gas'!H19</f>
        <v>54.289999999999964</v>
      </c>
      <c r="I13" s="3">
        <f>'Ablesewerte Gas'!J19-'Ablesewerte Gas'!I19</f>
        <v>53.990000000000009</v>
      </c>
      <c r="J13" s="3">
        <f>'Ablesewerte Gas'!K19-'Ablesewerte Gas'!J19</f>
        <v>47.950000000000045</v>
      </c>
      <c r="K13" s="3">
        <f>'Ablesewerte Gas'!L19-'Ablesewerte Gas'!K19</f>
        <v>39.869999999999891</v>
      </c>
      <c r="L13" s="3">
        <f>'Ablesewerte Gas'!M19-'Ablesewerte Gas'!L19</f>
        <v>57.230000000000018</v>
      </c>
      <c r="M13" s="3">
        <f>'Ablesewerte Gas'!N19-'Ablesewerte Gas'!M19</f>
        <v>70.519999999999982</v>
      </c>
      <c r="N13" s="3">
        <f>'Ablesewerte Gas'!O19-'Ablesewerte Gas'!N19</f>
        <v>47.330000000000155</v>
      </c>
    </row>
    <row r="14" spans="1:16" x14ac:dyDescent="0.2">
      <c r="A14" t="str">
        <f>'Ablesewerte Gas'!A20</f>
        <v>alte Aula</v>
      </c>
      <c r="B14" t="s">
        <v>32</v>
      </c>
      <c r="C14" s="3">
        <f>'Ablesewerte Gas'!D20-'Ablesewerte Gas'!C20</f>
        <v>1309.3000000000029</v>
      </c>
      <c r="D14" s="3">
        <f>'Ablesewerte Gas'!E20-'Ablesewerte Gas'!D20</f>
        <v>1641.7700000000041</v>
      </c>
      <c r="E14" s="3">
        <f>'Ablesewerte Gas'!F20-'Ablesewerte Gas'!E20</f>
        <v>1034.0499999999884</v>
      </c>
      <c r="F14" s="3">
        <f>'Ablesewerte Gas'!G20-'Ablesewerte Gas'!F20</f>
        <v>137.79000000000815</v>
      </c>
      <c r="G14" s="16">
        <f>'Ablesewerte Gas'!H20-'Ablesewerte Gas'!G20</f>
        <v>0</v>
      </c>
      <c r="H14" s="16">
        <f>'Ablesewerte Gas'!I20-'Ablesewerte Gas'!H20</f>
        <v>0</v>
      </c>
      <c r="I14" s="16">
        <f>'Ablesewerte Gas'!J20-'Ablesewerte Gas'!I20</f>
        <v>0</v>
      </c>
      <c r="J14" s="16">
        <f>'Ablesewerte Gas'!K20-'Ablesewerte Gas'!J20</f>
        <v>0</v>
      </c>
      <c r="K14" s="16">
        <f>'Ablesewerte Gas'!L20-'Ablesewerte Gas'!K20</f>
        <v>0</v>
      </c>
      <c r="L14" s="16">
        <v>0</v>
      </c>
      <c r="M14" s="3">
        <f>'Ablesewerte Gas'!N20-'Ablesewerte Gas'!M20</f>
        <v>707.61999999999534</v>
      </c>
      <c r="N14" s="3">
        <f>'Ablesewerte Gas'!O20-'Ablesewerte Gas'!N20</f>
        <v>626.58999999999651</v>
      </c>
      <c r="O14" s="3" t="s">
        <v>35</v>
      </c>
    </row>
    <row r="15" spans="1:16" x14ac:dyDescent="0.2">
      <c r="A15" t="str">
        <f>'Ablesewerte Gas'!A21</f>
        <v>Lichtenstern 13</v>
      </c>
      <c r="C15" s="3">
        <f>'Ablesewerte Gas'!D21-'Ablesewerte Gas'!C21</f>
        <v>1133.8799999999992</v>
      </c>
      <c r="D15" s="3">
        <f>'Ablesewerte Gas'!E21-'Ablesewerte Gas'!D21</f>
        <v>1354.2929999999997</v>
      </c>
      <c r="E15" s="3">
        <f>'Ablesewerte Gas'!F21-'Ablesewerte Gas'!E21</f>
        <v>949.85699999999997</v>
      </c>
      <c r="F15" s="3">
        <f>'Ablesewerte Gas'!G21-'Ablesewerte Gas'!F21</f>
        <v>495.01000000000022</v>
      </c>
      <c r="G15" s="3">
        <f>'Ablesewerte Gas'!H21-'Ablesewerte Gas'!G21</f>
        <v>264.96000000000095</v>
      </c>
      <c r="H15" s="3">
        <f>'Ablesewerte Gas'!I21-'Ablesewerte Gas'!H21</f>
        <v>216.27999999999884</v>
      </c>
      <c r="I15" s="3">
        <f>'Ablesewerte Gas'!J21-'Ablesewerte Gas'!I21</f>
        <v>158.38000000000102</v>
      </c>
      <c r="J15" s="3">
        <f>'Ablesewerte Gas'!K21-'Ablesewerte Gas'!J21</f>
        <v>123.84900000000016</v>
      </c>
      <c r="K15" s="3">
        <f>'Ablesewerte Gas'!L21-'Ablesewerte Gas'!K21</f>
        <v>191.78799999999865</v>
      </c>
      <c r="L15" s="3">
        <f>'Ablesewerte Gas'!M21-'Ablesewerte Gas'!L21</f>
        <v>413.13600000000042</v>
      </c>
      <c r="M15" s="3">
        <f>'Ablesewerte Gas'!N21-'Ablesewerte Gas'!M21</f>
        <v>741.41699999999946</v>
      </c>
      <c r="N15" s="3">
        <f>'Ablesewerte Gas'!O21-'Ablesewerte Gas'!N21</f>
        <v>603.25500000000102</v>
      </c>
      <c r="P15" s="3">
        <f>SUM(C15:O15)</f>
        <v>6646.1049999999996</v>
      </c>
    </row>
    <row r="16" spans="1:16" x14ac:dyDescent="0.2">
      <c r="A16" t="s">
        <v>35</v>
      </c>
    </row>
    <row r="17" spans="1:16" x14ac:dyDescent="0.2">
      <c r="A17" s="17" t="str">
        <f>'Ablesewerte Gas'!A25</f>
        <v>** Zählerwechsel / neue Heizung</v>
      </c>
    </row>
    <row r="19" spans="1:16" ht="15.75" x14ac:dyDescent="0.25">
      <c r="A19" s="1">
        <f>'Ablesewerte Gas'!A28</f>
        <v>2007</v>
      </c>
      <c r="B19" s="13" t="str">
        <f>'Ablesewerte Gas'!B28</f>
        <v>m³</v>
      </c>
      <c r="C19" s="13" t="str">
        <f>'Ablesewerte Gas'!C28</f>
        <v>Jan</v>
      </c>
      <c r="D19" s="13" t="str">
        <f>'Ablesewerte Gas'!D28</f>
        <v>Feb</v>
      </c>
      <c r="E19" s="13" t="str">
        <f>'Ablesewerte Gas'!E28</f>
        <v>Mrz</v>
      </c>
      <c r="F19" s="13" t="str">
        <f>'Ablesewerte Gas'!F28</f>
        <v>Apr</v>
      </c>
      <c r="G19" s="13" t="str">
        <f>'Ablesewerte Gas'!G28</f>
        <v>Mai</v>
      </c>
      <c r="H19" s="13" t="str">
        <f>'Ablesewerte Gas'!H28</f>
        <v>Jun</v>
      </c>
      <c r="I19" s="13" t="str">
        <f>'Ablesewerte Gas'!I28</f>
        <v>Jul</v>
      </c>
      <c r="J19" s="13" t="str">
        <f>'Ablesewerte Gas'!J28</f>
        <v>Aug</v>
      </c>
      <c r="K19" s="13" t="str">
        <f>'Ablesewerte Gas'!K28</f>
        <v>Sep</v>
      </c>
      <c r="L19" s="13" t="str">
        <f>'Ablesewerte Gas'!L28</f>
        <v>Okt</v>
      </c>
      <c r="M19" s="13" t="str">
        <f>'Ablesewerte Gas'!M28</f>
        <v>Nov</v>
      </c>
      <c r="N19" s="13" t="str">
        <f>'Ablesewerte Gas'!N28</f>
        <v>Dez</v>
      </c>
    </row>
    <row r="21" spans="1:16" x14ac:dyDescent="0.2">
      <c r="A21" t="str">
        <f>'Ablesewerte Gas'!A30</f>
        <v>Hauptzähler Internat</v>
      </c>
      <c r="C21" s="3">
        <f>SUM('Ablesewerte Gas'!D30-'Ablesewerte Gas'!C30)</f>
        <v>11027</v>
      </c>
      <c r="D21" s="3">
        <f>SUM('Ablesewerte Gas'!E30-'Ablesewerte Gas'!D30)</f>
        <v>7567.5</v>
      </c>
      <c r="E21" s="3">
        <f>SUM('Ablesewerte Gas'!F30-'Ablesewerte Gas'!E30)</f>
        <v>7521.3999999999069</v>
      </c>
      <c r="F21" s="3">
        <f>SUM('Ablesewerte Gas'!G30-'Ablesewerte Gas'!F30)</f>
        <v>2653.1000000000931</v>
      </c>
      <c r="G21" s="3">
        <f>SUM('Ablesewerte Gas'!H30-'Ablesewerte Gas'!G30)</f>
        <v>2797.3999999999069</v>
      </c>
      <c r="H21" s="3">
        <f>SUM('Ablesewerte Gas'!I30-'Ablesewerte Gas'!H30)</f>
        <v>1528.6999999999534</v>
      </c>
      <c r="I21" s="3">
        <f>SUM('Ablesewerte Gas'!J30-'Ablesewerte Gas'!I30)</f>
        <v>2217.9000000001397</v>
      </c>
      <c r="J21" s="3">
        <f>SUM('Ablesewerte Gas'!K30-'Ablesewerte Gas'!J30)</f>
        <v>855.5</v>
      </c>
      <c r="K21" s="3">
        <f>SUM('Ablesewerte Gas'!L30-'Ablesewerte Gas'!K30)</f>
        <v>2518.8999999999069</v>
      </c>
      <c r="L21" s="3">
        <f>SUM('Ablesewerte Gas'!M30-'Ablesewerte Gas'!L30)</f>
        <v>6038.3000000000466</v>
      </c>
      <c r="M21" s="3">
        <f>SUM('Ablesewerte Gas'!N30-'Ablesewerte Gas'!M30)</f>
        <v>8529.0999999998603</v>
      </c>
      <c r="N21" s="3">
        <f>SUM('Ablesewerte Gas'!O30-'Ablesewerte Gas'!N30)</f>
        <v>12035.700000000186</v>
      </c>
      <c r="P21" s="3">
        <f>SUM(C21:O21)</f>
        <v>65290.5</v>
      </c>
    </row>
    <row r="22" spans="1:16" x14ac:dyDescent="0.2">
      <c r="A22" t="str">
        <f>'Ablesewerte Gas'!A31</f>
        <v>Zwischenzähler Küche</v>
      </c>
      <c r="C22" s="3">
        <f>SUM('Ablesewerte Gas'!D31-'Ablesewerte Gas'!C31)</f>
        <v>59.589999999999918</v>
      </c>
      <c r="D22" s="3">
        <f>SUM('Ablesewerte Gas'!E31-'Ablesewerte Gas'!D31)</f>
        <v>61.069999999999936</v>
      </c>
      <c r="E22" s="3">
        <f>SUM('Ablesewerte Gas'!F31-'Ablesewerte Gas'!E31)</f>
        <v>92.970000000000027</v>
      </c>
      <c r="F22" s="3">
        <f>SUM('Ablesewerte Gas'!G31-'Ablesewerte Gas'!F31)</f>
        <v>40.829999999999927</v>
      </c>
      <c r="G22" s="3">
        <f>SUM('Ablesewerte Gas'!H31-'Ablesewerte Gas'!G31)</f>
        <v>52.0300000000002</v>
      </c>
      <c r="H22" s="3">
        <f>SUM('Ablesewerte Gas'!I31-'Ablesewerte Gas'!H31)</f>
        <v>49.3599999999999</v>
      </c>
      <c r="I22" s="3">
        <f>SUM('Ablesewerte Gas'!J31-'Ablesewerte Gas'!I31)</f>
        <v>84.730000000000018</v>
      </c>
      <c r="J22" s="3">
        <f>SUM('Ablesewerte Gas'!K31-'Ablesewerte Gas'!J31)</f>
        <v>9.9999999999909051E-3</v>
      </c>
      <c r="K22" s="3">
        <f>SUM('Ablesewerte Gas'!L31-'Ablesewerte Gas'!K31)</f>
        <v>50.470000000000027</v>
      </c>
      <c r="L22" s="3">
        <f>SUM('Ablesewerte Gas'!M31-'Ablesewerte Gas'!L31)</f>
        <v>56.460000000000036</v>
      </c>
      <c r="M22" s="3">
        <f>SUM('Ablesewerte Gas'!N31-'Ablesewerte Gas'!M31)</f>
        <v>64.689999999999827</v>
      </c>
      <c r="N22" s="3">
        <f>SUM('Ablesewerte Gas'!O31-'Ablesewerte Gas'!N31)</f>
        <v>49.550000000000182</v>
      </c>
      <c r="P22" s="3">
        <f>SUM(C22:O22)</f>
        <v>661.76</v>
      </c>
    </row>
    <row r="23" spans="1:16" x14ac:dyDescent="0.2">
      <c r="A23" t="str">
        <f>'Ablesewerte Gas'!A32</f>
        <v>alte Aula</v>
      </c>
      <c r="C23" s="3">
        <f>SUM('Ablesewerte Gas'!D32-'Ablesewerte Gas'!C32)</f>
        <v>1145.3099999999977</v>
      </c>
      <c r="D23" s="3">
        <f>SUM('Ablesewerte Gas'!E32-'Ablesewerte Gas'!D32)</f>
        <v>703.23000000001048</v>
      </c>
      <c r="E23" s="3">
        <f>SUM('Ablesewerte Gas'!F32-'Ablesewerte Gas'!E32)</f>
        <v>679.48999999999069</v>
      </c>
      <c r="F23" s="3">
        <f>SUM('Ablesewerte Gas'!G32-'Ablesewerte Gas'!F32)</f>
        <v>176.66000000000349</v>
      </c>
      <c r="G23" s="3">
        <f>SUM('Ablesewerte Gas'!H32-'Ablesewerte Gas'!G32)</f>
        <v>121.17999999999302</v>
      </c>
      <c r="H23" s="3">
        <f>SUM('Ablesewerte Gas'!I32-'Ablesewerte Gas'!H32)</f>
        <v>6.0000000026775524E-2</v>
      </c>
      <c r="I23" s="3">
        <f>SUM('Ablesewerte Gas'!J32-'Ablesewerte Gas'!I32)</f>
        <v>9.9999999802093953E-3</v>
      </c>
      <c r="J23" s="3">
        <f>SUM('Ablesewerte Gas'!K32-'Ablesewerte Gas'!J32)</f>
        <v>4.0000000008149073E-2</v>
      </c>
      <c r="K23" s="3">
        <f>SUM('Ablesewerte Gas'!L32-'Ablesewerte Gas'!K32)</f>
        <v>192.60999999998603</v>
      </c>
      <c r="L23" s="3">
        <f>SUM('Ablesewerte Gas'!M32-'Ablesewerte Gas'!L32)</f>
        <v>404.12000000002445</v>
      </c>
      <c r="M23" s="3">
        <f>SUM('Ablesewerte Gas'!N32-'Ablesewerte Gas'!M32)</f>
        <v>649.79999999998836</v>
      </c>
      <c r="N23" s="3">
        <f>SUM('Ablesewerte Gas'!O32-'Ablesewerte Gas'!N32)</f>
        <v>985.25</v>
      </c>
      <c r="O23" s="3" t="s">
        <v>35</v>
      </c>
      <c r="P23" s="3">
        <f>SUM(C23:O23)</f>
        <v>5057.7600000000093</v>
      </c>
    </row>
    <row r="24" spans="1:16" x14ac:dyDescent="0.2">
      <c r="A24" t="str">
        <f>'Ablesewerte Gas'!A33</f>
        <v>Lichtenstern 13</v>
      </c>
      <c r="C24" s="3">
        <f>SUM('Ablesewerte Gas'!D33-'Ablesewerte Gas'!C33)</f>
        <v>1150.5449999999983</v>
      </c>
      <c r="D24" s="3">
        <f>SUM('Ablesewerte Gas'!E33-'Ablesewerte Gas'!D33)</f>
        <v>798.97000000000116</v>
      </c>
      <c r="E24" s="3">
        <f>SUM('Ablesewerte Gas'!F33-'Ablesewerte Gas'!E33)</f>
        <v>774.40999999999985</v>
      </c>
      <c r="F24" s="3">
        <f>SUM('Ablesewerte Gas'!G33-'Ablesewerte Gas'!F33)</f>
        <v>281.58000000000175</v>
      </c>
      <c r="G24" s="3">
        <f>SUM('Ablesewerte Gas'!H33-'Ablesewerte Gas'!G33)</f>
        <v>270.20999999999913</v>
      </c>
      <c r="H24" s="3">
        <f>SUM('Ablesewerte Gas'!I33-'Ablesewerte Gas'!H33)</f>
        <v>170.88000000000102</v>
      </c>
      <c r="I24" s="3">
        <f>SUM('Ablesewerte Gas'!J33-'Ablesewerte Gas'!I33)</f>
        <v>232.63999999999942</v>
      </c>
      <c r="J24" s="3">
        <f>SUM('Ablesewerte Gas'!K33-'Ablesewerte Gas'!J33)</f>
        <v>113.64999999999782</v>
      </c>
      <c r="K24" s="3">
        <f>SUM('Ablesewerte Gas'!L33-'Ablesewerte Gas'!K33)</f>
        <v>292.35000000000218</v>
      </c>
      <c r="L24" s="3">
        <f>SUM('Ablesewerte Gas'!M33-'Ablesewerte Gas'!L33)</f>
        <v>689.04000000000087</v>
      </c>
      <c r="M24" s="3">
        <f>SUM('Ablesewerte Gas'!N33-'Ablesewerte Gas'!M33)</f>
        <v>921.84999999999854</v>
      </c>
      <c r="N24" s="3">
        <f>SUM('Ablesewerte Gas'!O33-'Ablesewerte Gas'!N33)</f>
        <v>1300.5800000000017</v>
      </c>
      <c r="P24" s="3">
        <f>SUM(C24:O24)</f>
        <v>6996.7050000000017</v>
      </c>
    </row>
    <row r="27" spans="1:16" ht="15.75" x14ac:dyDescent="0.25">
      <c r="A27" s="1">
        <f>'Ablesewerte Gas'!A36</f>
        <v>2008</v>
      </c>
      <c r="B27" s="13" t="str">
        <f>'Ablesewerte Gas'!B36</f>
        <v>m³</v>
      </c>
      <c r="C27" s="13" t="str">
        <f>'Ablesewerte Gas'!C36</f>
        <v>Jan</v>
      </c>
      <c r="D27" s="13" t="str">
        <f>'Ablesewerte Gas'!D36</f>
        <v>Feb</v>
      </c>
      <c r="E27" s="13" t="str">
        <f>'Ablesewerte Gas'!E36</f>
        <v>Mrz</v>
      </c>
      <c r="F27" s="13" t="str">
        <f>'Ablesewerte Gas'!F36</f>
        <v>Apr</v>
      </c>
      <c r="G27" s="13" t="str">
        <f>'Ablesewerte Gas'!G36</f>
        <v>Mai</v>
      </c>
      <c r="H27" s="13" t="str">
        <f>'Ablesewerte Gas'!H36</f>
        <v>Jun</v>
      </c>
      <c r="I27" s="13" t="str">
        <f>'Ablesewerte Gas'!I36</f>
        <v>Jul</v>
      </c>
      <c r="J27" s="13" t="str">
        <f>'Ablesewerte Gas'!J36</f>
        <v>Aug</v>
      </c>
      <c r="K27" s="13" t="str">
        <f>'Ablesewerte Gas'!K36</f>
        <v>Sep</v>
      </c>
      <c r="L27" s="13" t="str">
        <f>'Ablesewerte Gas'!L36</f>
        <v>Okt</v>
      </c>
      <c r="M27" s="13" t="str">
        <f>'Ablesewerte Gas'!M36</f>
        <v>Nov</v>
      </c>
      <c r="N27" s="13" t="str">
        <f>'Ablesewerte Gas'!N36</f>
        <v>Dez</v>
      </c>
    </row>
    <row r="29" spans="1:16" x14ac:dyDescent="0.2">
      <c r="A29" t="str">
        <f>'Ablesewerte Gas'!A38</f>
        <v>Hauptzähler Internat</v>
      </c>
      <c r="C29" s="3">
        <f>SUM('Ablesewerte Gas'!D38-'Ablesewerte Gas'!C38)</f>
        <v>7977.1000000000931</v>
      </c>
      <c r="D29" s="3">
        <f>SUM('Ablesewerte Gas'!E38-'Ablesewerte Gas'!D38)</f>
        <v>7994.1999999997206</v>
      </c>
      <c r="E29" s="3">
        <f>SUM('Ablesewerte Gas'!F38-'Ablesewerte Gas'!E38)</f>
        <v>6075</v>
      </c>
      <c r="F29" s="3">
        <f>SUM('Ablesewerte Gas'!G38-'Ablesewerte Gas'!F38)</f>
        <v>5405.8999999999069</v>
      </c>
      <c r="G29" s="3">
        <f>SUM('Ablesewerte Gas'!H38-'Ablesewerte Gas'!G38)</f>
        <v>2013.4000000003725</v>
      </c>
      <c r="H29" s="3">
        <f>SUM('Ablesewerte Gas'!I38-'Ablesewerte Gas'!H38)</f>
        <v>1570.2999999998137</v>
      </c>
      <c r="I29" s="3">
        <f>SUM('Ablesewerte Gas'!J38-'Ablesewerte Gas'!I38)</f>
        <v>1543.8999999999069</v>
      </c>
      <c r="J29" s="3">
        <f>SUM('Ablesewerte Gas'!K38-'Ablesewerte Gas'!J38)</f>
        <v>1029.8000000002794</v>
      </c>
      <c r="K29" s="3">
        <f>SUM('Ablesewerte Gas'!L38-'Ablesewerte Gas'!K38)</f>
        <v>2892.5999999996275</v>
      </c>
      <c r="L29" s="3">
        <f>SUM('Ablesewerte Gas'!M38-'Ablesewerte Gas'!L38)</f>
        <v>4597.1000000000931</v>
      </c>
      <c r="M29" s="3">
        <f>SUM('Ablesewerte Gas'!N38-'Ablesewerte Gas'!M38)</f>
        <v>7716.5</v>
      </c>
      <c r="N29" s="3">
        <f>SUM('Ablesewerte Gas'!O38-'Ablesewerte Gas'!N38)</f>
        <v>6835.8999999999069</v>
      </c>
      <c r="P29" s="3">
        <f>SUM(C29:O29)</f>
        <v>55651.699999999721</v>
      </c>
    </row>
    <row r="30" spans="1:16" x14ac:dyDescent="0.2">
      <c r="A30" t="str">
        <f>'Ablesewerte Gas'!A39</f>
        <v>Zwischenzähler Küche</v>
      </c>
      <c r="C30" s="3">
        <f>SUM('Ablesewerte Gas'!D39-'Ablesewerte Gas'!C39)</f>
        <v>73.25</v>
      </c>
      <c r="D30" s="3">
        <f>SUM('Ablesewerte Gas'!E39-'Ablesewerte Gas'!D39)</f>
        <v>57.099999999999909</v>
      </c>
      <c r="E30" s="3">
        <f>SUM('Ablesewerte Gas'!F39-'Ablesewerte Gas'!E39)</f>
        <v>46.650000000000091</v>
      </c>
      <c r="F30" s="3">
        <f>SUM('Ablesewerte Gas'!G39-'Ablesewerte Gas'!F39)</f>
        <v>88.149999999999864</v>
      </c>
      <c r="G30" s="3">
        <f>SUM('Ablesewerte Gas'!H39-'Ablesewerte Gas'!G39)</f>
        <v>51.549999999999955</v>
      </c>
      <c r="H30" s="3">
        <f>SUM('Ablesewerte Gas'!I39-'Ablesewerte Gas'!H39)</f>
        <v>68.420000000000073</v>
      </c>
      <c r="I30" s="3">
        <f>SUM('Ablesewerte Gas'!J39-'Ablesewerte Gas'!I39)</f>
        <v>51.019999999999982</v>
      </c>
      <c r="J30" s="3">
        <f>SUM('Ablesewerte Gas'!K39-'Ablesewerte Gas'!J39)</f>
        <v>38.769999999999982</v>
      </c>
      <c r="K30" s="3">
        <f>SUM('Ablesewerte Gas'!L39-'Ablesewerte Gas'!K39)</f>
        <v>91.760000000000218</v>
      </c>
      <c r="L30" s="3">
        <f>SUM('Ablesewerte Gas'!M39-'Ablesewerte Gas'!L39)</f>
        <v>56.429999999999836</v>
      </c>
      <c r="M30" s="3">
        <f>SUM('Ablesewerte Gas'!N39-'Ablesewerte Gas'!M39)</f>
        <v>94.800000000000182</v>
      </c>
      <c r="N30" s="3">
        <f>SUM('Ablesewerte Gas'!O39-'Ablesewerte Gas'!N39)</f>
        <v>55.889999999999873</v>
      </c>
      <c r="P30" s="3">
        <f>SUM(C30:O30)</f>
        <v>773.79</v>
      </c>
    </row>
    <row r="31" spans="1:16" x14ac:dyDescent="0.2">
      <c r="A31" t="str">
        <f>'Ablesewerte Gas'!A40</f>
        <v>alte Aula</v>
      </c>
      <c r="C31" s="3">
        <f>SUM('Ablesewerte Gas'!D40-'Ablesewerte Gas'!C40)</f>
        <v>658.32999999998719</v>
      </c>
      <c r="D31" s="3">
        <f>SUM('Ablesewerte Gas'!E40-'Ablesewerte Gas'!D40)</f>
        <v>668.61000000001513</v>
      </c>
      <c r="E31" s="3">
        <f>SUM('Ablesewerte Gas'!F40-'Ablesewerte Gas'!E40)</f>
        <v>539.67999999999302</v>
      </c>
      <c r="F31" s="3">
        <f>SUM('Ablesewerte Gas'!G40-'Ablesewerte Gas'!F40)</f>
        <v>379.61000000001513</v>
      </c>
      <c r="G31" s="3">
        <f>SUM('Ablesewerte Gas'!H40-'Ablesewerte Gas'!G40)</f>
        <v>25.75</v>
      </c>
      <c r="H31" s="3">
        <f>SUM('Ablesewerte Gas'!I40-'Ablesewerte Gas'!H40)</f>
        <v>0</v>
      </c>
      <c r="I31" s="3">
        <f>SUM('Ablesewerte Gas'!J40-'Ablesewerte Gas'!I40)</f>
        <v>0</v>
      </c>
      <c r="J31" s="3">
        <f>SUM('Ablesewerte Gas'!K40-'Ablesewerte Gas'!J40)</f>
        <v>-1.0000000009313226E-2</v>
      </c>
      <c r="K31" s="3">
        <f>SUM('Ablesewerte Gas'!L40-'Ablesewerte Gas'!K40)</f>
        <v>150.26000000000931</v>
      </c>
      <c r="L31" s="3">
        <f>SUM('Ablesewerte Gas'!M40-'Ablesewerte Gas'!L40)</f>
        <v>340.19999999998254</v>
      </c>
      <c r="M31" s="3">
        <f>SUM('Ablesewerte Gas'!N40-'Ablesewerte Gas'!M40)</f>
        <v>606.17000000001281</v>
      </c>
      <c r="N31" s="3">
        <f>SUM('Ablesewerte Gas'!O40-'Ablesewerte Gas'!N40)</f>
        <v>546.63000000000466</v>
      </c>
      <c r="O31" s="3" t="s">
        <v>35</v>
      </c>
      <c r="P31" s="3">
        <f>SUM(C31:O31)</f>
        <v>3915.2300000000105</v>
      </c>
    </row>
    <row r="32" spans="1:16" x14ac:dyDescent="0.2">
      <c r="A32" t="str">
        <f>'Ablesewerte Gas'!A41</f>
        <v>Lichtenstern 13</v>
      </c>
      <c r="C32" s="3">
        <f>SUM('Ablesewerte Gas'!D41-'Ablesewerte Gas'!C41)</f>
        <v>871.16999999999825</v>
      </c>
      <c r="D32" s="3">
        <f>SUM('Ablesewerte Gas'!E41-'Ablesewerte Gas'!D41)</f>
        <v>916.86000000000058</v>
      </c>
      <c r="E32" s="3">
        <f>SUM('Ablesewerte Gas'!F41-'Ablesewerte Gas'!E41)</f>
        <v>658.07999999999811</v>
      </c>
      <c r="F32" s="3">
        <f>SUM('Ablesewerte Gas'!G41-'Ablesewerte Gas'!F41)</f>
        <v>698.29000000000087</v>
      </c>
      <c r="G32" s="3">
        <f>SUM('Ablesewerte Gas'!H41-'Ablesewerte Gas'!G41)</f>
        <v>196.15000000000146</v>
      </c>
      <c r="H32" s="3">
        <f>SUM('Ablesewerte Gas'!I41-'Ablesewerte Gas'!H41)</f>
        <v>116.68000000000029</v>
      </c>
      <c r="I32" s="3">
        <f>SUM('Ablesewerte Gas'!J41-'Ablesewerte Gas'!I41)</f>
        <v>111.18000000000029</v>
      </c>
      <c r="J32" s="3">
        <f>SUM('Ablesewerte Gas'!K41-'Ablesewerte Gas'!J41)</f>
        <v>83.559999999997672</v>
      </c>
      <c r="K32" s="3">
        <f>SUM('Ablesewerte Gas'!L41-'Ablesewerte Gas'!K41)</f>
        <v>320.44000000000233</v>
      </c>
      <c r="L32" s="3">
        <f>SUM('Ablesewerte Gas'!M41-'Ablesewerte Gas'!L41)</f>
        <v>500.52999999999884</v>
      </c>
      <c r="M32" s="3">
        <f>SUM('Ablesewerte Gas'!N41-'Ablesewerte Gas'!M41)</f>
        <v>734.93000000000029</v>
      </c>
      <c r="N32" s="3">
        <f>SUM('Ablesewerte Gas'!O41-'Ablesewerte Gas'!N41)</f>
        <v>660.27000000000044</v>
      </c>
      <c r="P32" s="3">
        <f>SUM(C32:O32)</f>
        <v>5868.1399999999994</v>
      </c>
    </row>
    <row r="35" spans="1:16" ht="15.75" x14ac:dyDescent="0.25">
      <c r="A35" s="1">
        <f>'Ablesewerte Gas'!A44</f>
        <v>2009</v>
      </c>
      <c r="B35" s="13" t="str">
        <f>'Ablesewerte Gas'!B44</f>
        <v>m³</v>
      </c>
      <c r="C35" s="13" t="str">
        <f>'Ablesewerte Gas'!C44</f>
        <v>Jan</v>
      </c>
      <c r="D35" s="13" t="str">
        <f>'Ablesewerte Gas'!D44</f>
        <v>Feb</v>
      </c>
      <c r="E35" s="13" t="str">
        <f>'Ablesewerte Gas'!E44</f>
        <v>Mrz</v>
      </c>
      <c r="F35" s="13" t="str">
        <f>'Ablesewerte Gas'!F44</f>
        <v>Apr</v>
      </c>
      <c r="G35" s="13" t="str">
        <f>'Ablesewerte Gas'!G44</f>
        <v>Mai</v>
      </c>
      <c r="H35" s="13" t="str">
        <f>'Ablesewerte Gas'!H44</f>
        <v>Jun</v>
      </c>
      <c r="I35" s="13" t="str">
        <f>'Ablesewerte Gas'!I44</f>
        <v>Jul</v>
      </c>
      <c r="J35" s="13" t="str">
        <f>'Ablesewerte Gas'!J44</f>
        <v>Aug</v>
      </c>
      <c r="K35" s="13" t="str">
        <f>'Ablesewerte Gas'!K44</f>
        <v>Sep</v>
      </c>
      <c r="L35" s="13" t="str">
        <f>'Ablesewerte Gas'!L44</f>
        <v>Okt</v>
      </c>
      <c r="M35" s="13" t="str">
        <f>'Ablesewerte Gas'!M44</f>
        <v>Nov</v>
      </c>
      <c r="N35" s="13" t="str">
        <f>'Ablesewerte Gas'!N44</f>
        <v>Dez</v>
      </c>
    </row>
    <row r="37" spans="1:16" x14ac:dyDescent="0.2">
      <c r="A37" t="str">
        <f>'Ablesewerte Gas'!A46</f>
        <v>Hauptzähler Internat</v>
      </c>
      <c r="C37" s="3">
        <f>SUM('Ablesewerte Gas'!D46-'Ablesewerte Gas'!C46)</f>
        <v>15094.100000000093</v>
      </c>
      <c r="D37" s="3">
        <f>SUM('Ablesewerte Gas'!E46-'Ablesewerte Gas'!D46)</f>
        <v>9173.5</v>
      </c>
      <c r="E37" s="3">
        <f>SUM('Ablesewerte Gas'!F46-'Ablesewerte Gas'!E46)</f>
        <v>7840.6000000000931</v>
      </c>
      <c r="F37" s="3">
        <f>SUM('Ablesewerte Gas'!G46-'Ablesewerte Gas'!F46)</f>
        <v>2831.2000000001863</v>
      </c>
      <c r="G37" s="3">
        <f>SUM('Ablesewerte Gas'!H46-'Ablesewerte Gas'!G46)</f>
        <v>2327.1999999997206</v>
      </c>
      <c r="H37" s="3">
        <f>SUM('Ablesewerte Gas'!I46-'Ablesewerte Gas'!H46)</f>
        <v>1868.6000000000931</v>
      </c>
      <c r="I37" s="3">
        <f>SUM('Ablesewerte Gas'!J46-'Ablesewerte Gas'!I46)</f>
        <v>1437.3999999999069</v>
      </c>
      <c r="J37" s="3">
        <f>SUM('Ablesewerte Gas'!K46-'Ablesewerte Gas'!J46)</f>
        <v>1443.5</v>
      </c>
      <c r="K37" s="3">
        <f>SUM('Ablesewerte Gas'!L46-'Ablesewerte Gas'!K46)</f>
        <v>2185.3999999999069</v>
      </c>
      <c r="L37" s="3">
        <f>SUM('Ablesewerte Gas'!M46-'Ablesewerte Gas'!L46)</f>
        <v>4828.7000000001863</v>
      </c>
      <c r="M37" s="3">
        <f>SUM('Ablesewerte Gas'!N46-'Ablesewerte Gas'!M46)</f>
        <v>6348.1000000000931</v>
      </c>
      <c r="N37" s="3">
        <f>SUM('Ablesewerte Gas'!O46-'Ablesewerte Gas'!N46)</f>
        <v>7738.8999999999069</v>
      </c>
      <c r="O37" s="3" t="s">
        <v>35</v>
      </c>
      <c r="P37" s="3">
        <f>SUM(C37:O37)</f>
        <v>63117.200000000186</v>
      </c>
    </row>
    <row r="38" spans="1:16" x14ac:dyDescent="0.2">
      <c r="A38" t="str">
        <f>'Ablesewerte Gas'!A47</f>
        <v>Zwischenzähler Küche</v>
      </c>
      <c r="C38" s="3">
        <f>SUM('Ablesewerte Gas'!D47-'Ablesewerte Gas'!C47)</f>
        <v>60.289999999999964</v>
      </c>
      <c r="D38" s="3">
        <f>SUM('Ablesewerte Gas'!E47-'Ablesewerte Gas'!D47)</f>
        <v>59.889999999999873</v>
      </c>
      <c r="E38" s="3">
        <f>SUM('Ablesewerte Gas'!F47-'Ablesewerte Gas'!E47)</f>
        <v>105.96000000000004</v>
      </c>
      <c r="F38" s="3">
        <f>SUM('Ablesewerte Gas'!G47-'Ablesewerte Gas'!F47)</f>
        <v>62.769999999999982</v>
      </c>
      <c r="G38" s="3">
        <f>SUM('Ablesewerte Gas'!H47-'Ablesewerte Gas'!G47)</f>
        <v>51.25</v>
      </c>
      <c r="H38" s="3">
        <f>SUM('Ablesewerte Gas'!I47-'Ablesewerte Gas'!H47)</f>
        <v>74.300000000000182</v>
      </c>
      <c r="I38" s="3">
        <f>SUM('Ablesewerte Gas'!J47-'Ablesewerte Gas'!I47)</f>
        <v>66.159999999999854</v>
      </c>
      <c r="J38" s="3">
        <f>SUM('Ablesewerte Gas'!K47-'Ablesewerte Gas'!J47)</f>
        <v>67.289999999999964</v>
      </c>
      <c r="K38" s="3">
        <f>SUM('Ablesewerte Gas'!L47-'Ablesewerte Gas'!K47)</f>
        <v>88.5</v>
      </c>
      <c r="L38" s="3">
        <f>SUM('Ablesewerte Gas'!M47-'Ablesewerte Gas'!L47)</f>
        <v>72.010000000000218</v>
      </c>
      <c r="M38" s="3">
        <f>SUM('Ablesewerte Gas'!N47-'Ablesewerte Gas'!M47)</f>
        <v>119.06999999999971</v>
      </c>
      <c r="N38" s="3">
        <f>SUM('Ablesewerte Gas'!O47-'Ablesewerte Gas'!N47)</f>
        <v>105.92000000000007</v>
      </c>
      <c r="P38" s="3">
        <f>SUM(C38:O38)</f>
        <v>933.40999999999985</v>
      </c>
    </row>
    <row r="39" spans="1:16" x14ac:dyDescent="0.2">
      <c r="A39" t="str">
        <f>'Ablesewerte Gas'!A48</f>
        <v>alte Aula</v>
      </c>
      <c r="C39" s="3">
        <f>SUM('Ablesewerte Gas'!D48-'Ablesewerte Gas'!C48)</f>
        <v>1460.5999999999767</v>
      </c>
      <c r="D39" s="3">
        <f>SUM('Ablesewerte Gas'!E48-'Ablesewerte Gas'!D48)</f>
        <v>713.46000000002095</v>
      </c>
      <c r="E39" s="3">
        <f>SUM('Ablesewerte Gas'!F48-'Ablesewerte Gas'!E48)</f>
        <v>583.75999999998021</v>
      </c>
      <c r="F39" s="3">
        <f>SUM('Ablesewerte Gas'!G48-'Ablesewerte Gas'!F48)</f>
        <v>100.88000000000466</v>
      </c>
      <c r="G39" s="3">
        <f>SUM('Ablesewerte Gas'!H48-'Ablesewerte Gas'!G48)</f>
        <v>49.75</v>
      </c>
      <c r="H39" s="3">
        <f>SUM('Ablesewerte Gas'!I48-'Ablesewerte Gas'!H48)</f>
        <v>0</v>
      </c>
      <c r="I39" s="3">
        <f>SUM('Ablesewerte Gas'!J48-'Ablesewerte Gas'!I48)</f>
        <v>-4.9999999988358468E-2</v>
      </c>
      <c r="J39" s="3">
        <f>SUM('Ablesewerte Gas'!K48-'Ablesewerte Gas'!J48)</f>
        <v>0</v>
      </c>
      <c r="K39" s="3">
        <f>SUM('Ablesewerte Gas'!L48-'Ablesewerte Gas'!K48)</f>
        <v>32.380000000004657</v>
      </c>
      <c r="L39" s="3">
        <f>SUM('Ablesewerte Gas'!M48-'Ablesewerte Gas'!L48)</f>
        <v>276.75999999998021</v>
      </c>
      <c r="M39" s="3">
        <f>SUM('Ablesewerte Gas'!N48-'Ablesewerte Gas'!M48)</f>
        <v>413.92000000001281</v>
      </c>
      <c r="N39" s="3">
        <f>SUM('Ablesewerte Gas'!O48-'Ablesewerte Gas'!N48)</f>
        <v>672.25</v>
      </c>
      <c r="O39" s="3" t="s">
        <v>35</v>
      </c>
      <c r="P39" s="3">
        <f>SUM(C39:O39)</f>
        <v>4303.7099999999919</v>
      </c>
    </row>
    <row r="40" spans="1:16" x14ac:dyDescent="0.2">
      <c r="A40" t="str">
        <f>'Ablesewerte Gas'!A49</f>
        <v>Lichtenstern 13</v>
      </c>
      <c r="C40" s="3">
        <f>SUM('Ablesewerte Gas'!D49-'Ablesewerte Gas'!C49)</f>
        <v>1486.989999999998</v>
      </c>
      <c r="D40" s="3">
        <f>SUM('Ablesewerte Gas'!E49-'Ablesewerte Gas'!D49)</f>
        <v>920.54000000000087</v>
      </c>
      <c r="E40" s="3">
        <f>SUM('Ablesewerte Gas'!F49-'Ablesewerte Gas'!E49)</f>
        <v>858.62000000000262</v>
      </c>
      <c r="F40" s="3">
        <f>SUM('Ablesewerte Gas'!G49-'Ablesewerte Gas'!F49)</f>
        <v>332.5</v>
      </c>
      <c r="G40" s="3">
        <f>SUM('Ablesewerte Gas'!H49-'Ablesewerte Gas'!G49)</f>
        <v>291.24699999999575</v>
      </c>
      <c r="H40" s="3">
        <f>SUM('Ablesewerte Gas'!I49-'Ablesewerte Gas'!H49)</f>
        <v>219.40699999999924</v>
      </c>
      <c r="I40" s="3">
        <f>SUM('Ablesewerte Gas'!J49-'Ablesewerte Gas'!I49)</f>
        <v>175.18600000000151</v>
      </c>
      <c r="J40" s="3">
        <f>SUM('Ablesewerte Gas'!K49-'Ablesewerte Gas'!J49)</f>
        <v>102.80000000000291</v>
      </c>
      <c r="K40" s="3">
        <f>SUM('Ablesewerte Gas'!L49-'Ablesewerte Gas'!K49)</f>
        <v>245.1820000000007</v>
      </c>
      <c r="L40" s="3">
        <f>SUM('Ablesewerte Gas'!M49-'Ablesewerte Gas'!L49)</f>
        <v>566.3379999999961</v>
      </c>
      <c r="M40" s="3">
        <f>SUM('Ablesewerte Gas'!N49-'Ablesewerte Gas'!M49)</f>
        <v>780.56999999999971</v>
      </c>
      <c r="N40" s="3">
        <f>SUM('Ablesewerte Gas'!O49-'Ablesewerte Gas'!N49)</f>
        <v>818.39500000000407</v>
      </c>
      <c r="P40" s="3">
        <f>SUM(C40:O40)</f>
        <v>6797.7750000000015</v>
      </c>
    </row>
    <row r="43" spans="1:16" ht="15.75" x14ac:dyDescent="0.25">
      <c r="A43" s="1">
        <f>'Ablesewerte Gas'!A52</f>
        <v>2010</v>
      </c>
      <c r="B43" s="13" t="str">
        <f>'Ablesewerte Gas'!B52</f>
        <v>m³</v>
      </c>
      <c r="C43" s="13" t="str">
        <f>'Ablesewerte Gas'!C52</f>
        <v>Jan</v>
      </c>
      <c r="D43" s="13" t="str">
        <f>'Ablesewerte Gas'!D52</f>
        <v>Feb</v>
      </c>
      <c r="E43" s="13" t="str">
        <f>'Ablesewerte Gas'!E52</f>
        <v>Mrz</v>
      </c>
      <c r="F43" s="13" t="str">
        <f>'Ablesewerte Gas'!F52</f>
        <v>Apr</v>
      </c>
      <c r="G43" s="13" t="str">
        <f>'Ablesewerte Gas'!G52</f>
        <v>Mai</v>
      </c>
      <c r="H43" s="13" t="str">
        <f>'Ablesewerte Gas'!H52</f>
        <v>Jun</v>
      </c>
      <c r="I43" s="13" t="str">
        <f>'Ablesewerte Gas'!I52</f>
        <v>Jul</v>
      </c>
      <c r="J43" s="13" t="str">
        <f>'Ablesewerte Gas'!J52</f>
        <v>Aug</v>
      </c>
      <c r="K43" s="13" t="str">
        <f>'Ablesewerte Gas'!K52</f>
        <v>Sep</v>
      </c>
      <c r="L43" s="13" t="str">
        <f>'Ablesewerte Gas'!L52</f>
        <v>Okt</v>
      </c>
      <c r="M43" s="13" t="str">
        <f>'Ablesewerte Gas'!M52</f>
        <v>Nov</v>
      </c>
      <c r="N43" s="13" t="str">
        <f>'Ablesewerte Gas'!N52</f>
        <v>Dez</v>
      </c>
    </row>
    <row r="45" spans="1:16" x14ac:dyDescent="0.2">
      <c r="A45" t="str">
        <f>'Ablesewerte Gas'!A54</f>
        <v>Hauptzähler Internat</v>
      </c>
      <c r="C45" s="3">
        <f>SUM('Ablesewerte Gas'!D54-'Ablesewerte Gas'!C54)</f>
        <v>15240.399999999907</v>
      </c>
      <c r="D45" s="3">
        <f>SUM('Ablesewerte Gas'!E54-'Ablesewerte Gas'!D54)</f>
        <v>9408.3000000002794</v>
      </c>
      <c r="E45" s="3">
        <f>SUM('Ablesewerte Gas'!F54-'Ablesewerte Gas'!E54)</f>
        <v>7307.6999999997206</v>
      </c>
      <c r="F45" s="3">
        <f>SUM('Ablesewerte Gas'!G54-'Ablesewerte Gas'!F54)</f>
        <v>4406.2000000001863</v>
      </c>
      <c r="G45" s="3">
        <f>SUM('Ablesewerte Gas'!H54-'Ablesewerte Gas'!G54)</f>
        <v>2646.3999999999069</v>
      </c>
      <c r="H45" s="3">
        <f>SUM('Ablesewerte Gas'!I54-'Ablesewerte Gas'!H54)</f>
        <v>2493.2999999998137</v>
      </c>
      <c r="I45" s="3">
        <f>SUM('Ablesewerte Gas'!J54-'Ablesewerte Gas'!I54)</f>
        <v>1513.5</v>
      </c>
      <c r="J45" s="3">
        <f>SUM('Ablesewerte Gas'!K54-'Ablesewerte Gas'!J54)</f>
        <v>1551.2000000001863</v>
      </c>
      <c r="K45" s="3">
        <f>SUM('Ablesewerte Gas'!L54-'Ablesewerte Gas'!K54)</f>
        <v>3202.2999999998137</v>
      </c>
      <c r="L45" s="3">
        <f>SUM('Ablesewerte Gas'!M54-'Ablesewerte Gas'!L54)</f>
        <v>6177.9000000003725</v>
      </c>
      <c r="M45" s="3">
        <f>SUM('Ablesewerte Gas'!N54-'Ablesewerte Gas'!M54)</f>
        <v>7452.5</v>
      </c>
      <c r="N45" s="3">
        <f>SUM('Ablesewerte Gas'!O54-'Ablesewerte Gas'!N54)</f>
        <v>12080.599999999627</v>
      </c>
      <c r="P45" s="3">
        <f>SUM(C45:O45)</f>
        <v>73480.299999999814</v>
      </c>
    </row>
    <row r="46" spans="1:16" x14ac:dyDescent="0.2">
      <c r="A46" t="str">
        <f>'Ablesewerte Gas'!A55</f>
        <v>Zwischenzähler Küche</v>
      </c>
      <c r="C46" s="3">
        <f>SUM('Ablesewerte Gas'!D55-'Ablesewerte Gas'!C55)</f>
        <v>81.200000000000273</v>
      </c>
      <c r="D46" s="3">
        <f>SUM('Ablesewerte Gas'!E55-'Ablesewerte Gas'!D55)</f>
        <v>83.069999999999709</v>
      </c>
      <c r="E46" s="3">
        <f>SUM('Ablesewerte Gas'!F55-'Ablesewerte Gas'!E55)</f>
        <v>94.110000000000127</v>
      </c>
      <c r="F46" s="3">
        <f>SUM('Ablesewerte Gas'!G55-'Ablesewerte Gas'!F55)</f>
        <v>66.130000000000109</v>
      </c>
      <c r="G46" s="3">
        <f>SUM('Ablesewerte Gas'!H55-'Ablesewerte Gas'!G55)</f>
        <v>57.2199999999998</v>
      </c>
      <c r="H46" s="3">
        <f>SUM('Ablesewerte Gas'!I55-'Ablesewerte Gas'!H55)</f>
        <v>93.25</v>
      </c>
      <c r="I46" s="3">
        <f>SUM('Ablesewerte Gas'!J55-'Ablesewerte Gas'!I55)</f>
        <v>67.090000000000146</v>
      </c>
      <c r="J46" s="3">
        <f>SUM('Ablesewerte Gas'!K55-'Ablesewerte Gas'!J55)</f>
        <v>58.400000000000091</v>
      </c>
      <c r="K46" s="3">
        <f>SUM('Ablesewerte Gas'!L55-'Ablesewerte Gas'!K55)</f>
        <v>86.450000000000273</v>
      </c>
      <c r="L46" s="3">
        <f>SUM('Ablesewerte Gas'!M55-'Ablesewerte Gas'!L55)</f>
        <v>125.05999999999949</v>
      </c>
      <c r="M46" s="3">
        <f>SUM('Ablesewerte Gas'!N55-'Ablesewerte Gas'!M55)</f>
        <v>126.30000000000018</v>
      </c>
      <c r="N46" s="3">
        <f>SUM('Ablesewerte Gas'!O55-'Ablesewerte Gas'!N55)</f>
        <v>79.059999999999491</v>
      </c>
      <c r="O46" t="s">
        <v>35</v>
      </c>
      <c r="P46" s="3">
        <f>SUM(C46:O46)</f>
        <v>1017.3399999999997</v>
      </c>
    </row>
    <row r="47" spans="1:16" x14ac:dyDescent="0.2">
      <c r="A47" t="str">
        <f>'Ablesewerte Gas'!A56</f>
        <v>alte Aula</v>
      </c>
      <c r="C47" s="3">
        <f>SUM('Ablesewerte Gas'!D56-'Ablesewerte Gas'!C56)</f>
        <v>1246.5899999999965</v>
      </c>
      <c r="D47" s="3">
        <f>SUM('Ablesewerte Gas'!E56-'Ablesewerte Gas'!D56)</f>
        <v>750.5</v>
      </c>
      <c r="E47" s="3">
        <f>SUM('Ablesewerte Gas'!F56-'Ablesewerte Gas'!E56)</f>
        <v>567.70000000001164</v>
      </c>
      <c r="F47" s="3">
        <f>SUM('Ablesewerte Gas'!G56-'Ablesewerte Gas'!F56)</f>
        <v>164.47000000000116</v>
      </c>
      <c r="G47" s="3">
        <f>SUM('Ablesewerte Gas'!H56-'Ablesewerte Gas'!G56)</f>
        <v>125.18999999997322</v>
      </c>
      <c r="H47" s="3">
        <f>SUM('Ablesewerte Gas'!I56-'Ablesewerte Gas'!H56)</f>
        <v>3.3800000000046566</v>
      </c>
      <c r="I47" s="3">
        <f>SUM('Ablesewerte Gas'!J56-'Ablesewerte Gas'!I56)</f>
        <v>-3.9999999979045242E-2</v>
      </c>
      <c r="J47" s="3">
        <f>SUM('Ablesewerte Gas'!K56-'Ablesewerte Gas'!J56)</f>
        <v>3.9999999979045242E-2</v>
      </c>
      <c r="K47" s="3">
        <f>SUM('Ablesewerte Gas'!L56-'Ablesewerte Gas'!K56)</f>
        <v>93.510000000009313</v>
      </c>
      <c r="L47" s="3">
        <f>SUM('Ablesewerte Gas'!M56-'Ablesewerte Gas'!L56)</f>
        <v>344.54000000000815</v>
      </c>
      <c r="M47" s="3">
        <f>SUM('Ablesewerte Gas'!N56-'Ablesewerte Gas'!M56)</f>
        <v>542.94999999998254</v>
      </c>
      <c r="N47" s="3">
        <f>SUM('Ablesewerte Gas'!O56-'Ablesewerte Gas'!N56)</f>
        <v>1004.6600000000035</v>
      </c>
      <c r="O47" s="3" t="s">
        <v>35</v>
      </c>
      <c r="P47" s="3">
        <f>SUM(C47:O47)</f>
        <v>4843.4899999999907</v>
      </c>
    </row>
    <row r="48" spans="1:16" x14ac:dyDescent="0.2">
      <c r="A48" t="str">
        <f>'Ablesewerte Gas'!A57</f>
        <v>Lichtenstern 13</v>
      </c>
      <c r="C48" s="3">
        <f>SUM('Ablesewerte Gas'!D57-'Ablesewerte Gas'!C57)</f>
        <v>1507.114999999998</v>
      </c>
      <c r="D48" s="3">
        <f>SUM('Ablesewerte Gas'!E57-'Ablesewerte Gas'!D57)</f>
        <v>1021.5400000000009</v>
      </c>
      <c r="E48" s="3">
        <f>SUM('Ablesewerte Gas'!F57-'Ablesewerte Gas'!E57)</f>
        <v>819.47999999999593</v>
      </c>
      <c r="F48" s="3">
        <f>SUM('Ablesewerte Gas'!G57-'Ablesewerte Gas'!F57)</f>
        <v>550.95000000000437</v>
      </c>
      <c r="G48" s="3">
        <f>SUM('Ablesewerte Gas'!H57-'Ablesewerte Gas'!G57)</f>
        <v>339.34999999999854</v>
      </c>
      <c r="H48" s="3">
        <f>SUM('Ablesewerte Gas'!I57-'Ablesewerte Gas'!H57)</f>
        <v>293.62999999999738</v>
      </c>
      <c r="I48" s="3">
        <f>SUM('Ablesewerte Gas'!J57-'Ablesewerte Gas'!I57)</f>
        <v>128.30000000000291</v>
      </c>
      <c r="J48" s="3">
        <f>SUM('Ablesewerte Gas'!K57-'Ablesewerte Gas'!J57)</f>
        <v>126.52999999999884</v>
      </c>
      <c r="K48" s="3">
        <f>SUM('Ablesewerte Gas'!L57-'Ablesewerte Gas'!K57)</f>
        <v>220.23999999999796</v>
      </c>
      <c r="L48" s="3">
        <f>SUM('Ablesewerte Gas'!M57-'Ablesewerte Gas'!L57)</f>
        <v>340.79000000000087</v>
      </c>
      <c r="M48" s="3">
        <f>SUM('Ablesewerte Gas'!N57-'Ablesewerte Gas'!M57)</f>
        <v>350.38000000000466</v>
      </c>
      <c r="N48" s="3">
        <f>SUM('Ablesewerte Gas'!O57-'Ablesewerte Gas'!N57)</f>
        <v>609.43000000000029</v>
      </c>
      <c r="P48" s="3">
        <f>SUM(C48:O48)</f>
        <v>6307.7350000000006</v>
      </c>
    </row>
    <row r="51" spans="1:16" ht="15.75" x14ac:dyDescent="0.25">
      <c r="A51" s="1">
        <f>'Ablesewerte Gas'!A60</f>
        <v>2011</v>
      </c>
      <c r="B51" s="13" t="str">
        <f>'Ablesewerte Gas'!B60</f>
        <v>m³</v>
      </c>
      <c r="C51" s="13" t="str">
        <f>'Ablesewerte Gas'!C60</f>
        <v>Jan</v>
      </c>
      <c r="D51" s="13" t="str">
        <f>'Ablesewerte Gas'!D60</f>
        <v>Feb</v>
      </c>
      <c r="E51" s="13" t="str">
        <f>'Ablesewerte Gas'!E60</f>
        <v>Mrz</v>
      </c>
      <c r="F51" s="13" t="str">
        <f>'Ablesewerte Gas'!F60</f>
        <v>Apr</v>
      </c>
      <c r="G51" s="13" t="str">
        <f>'Ablesewerte Gas'!G60</f>
        <v>Mai</v>
      </c>
      <c r="H51" s="13" t="str">
        <f>'Ablesewerte Gas'!H60</f>
        <v>Jun</v>
      </c>
      <c r="I51" s="13" t="str">
        <f>'Ablesewerte Gas'!I60</f>
        <v>Jul</v>
      </c>
      <c r="J51" s="13" t="str">
        <f>'Ablesewerte Gas'!J60</f>
        <v>Aug</v>
      </c>
      <c r="K51" s="13" t="str">
        <f>'Ablesewerte Gas'!K60</f>
        <v>Sep</v>
      </c>
      <c r="L51" s="13" t="str">
        <f>'Ablesewerte Gas'!L60</f>
        <v>Okt</v>
      </c>
      <c r="M51" s="13" t="str">
        <f>'Ablesewerte Gas'!M60</f>
        <v>Nov</v>
      </c>
      <c r="N51" s="13" t="str">
        <f>'Ablesewerte Gas'!N60</f>
        <v>Dez</v>
      </c>
    </row>
    <row r="53" spans="1:16" x14ac:dyDescent="0.2">
      <c r="A53" t="str">
        <f>'Ablesewerte Gas'!A62</f>
        <v>Hauptzähler Internat</v>
      </c>
      <c r="C53" s="3">
        <f>SUM('Ablesewerte Gas'!D62-'Ablesewerte Gas'!C62)</f>
        <v>11380.900000000373</v>
      </c>
      <c r="D53" s="3">
        <f>SUM('Ablesewerte Gas'!E62-'Ablesewerte Gas'!D62)</f>
        <v>9045.2999999998137</v>
      </c>
      <c r="E53" s="3">
        <f>SUM('Ablesewerte Gas'!F62-'Ablesewerte Gas'!E62)</f>
        <v>6166.8999999999069</v>
      </c>
      <c r="F53" s="3">
        <f>SUM('Ablesewerte Gas'!G62-'Ablesewerte Gas'!F62)</f>
        <v>3232.8999999999069</v>
      </c>
      <c r="G53" s="3">
        <f>SUM('Ablesewerte Gas'!H62-'Ablesewerte Gas'!G62)</f>
        <v>2366.3000000002794</v>
      </c>
      <c r="H53" s="3">
        <f>SUM('Ablesewerte Gas'!I62-'Ablesewerte Gas'!H62)</f>
        <v>1551.2999999998137</v>
      </c>
      <c r="I53" s="3">
        <f>SUM('Ablesewerte Gas'!J62-'Ablesewerte Gas'!I62)</f>
        <v>1698</v>
      </c>
      <c r="J53" s="3">
        <f>SUM('Ablesewerte Gas'!K62-'Ablesewerte Gas'!J62)</f>
        <v>1274</v>
      </c>
      <c r="K53" s="3">
        <f>SUM('Ablesewerte Gas'!L62-'Ablesewerte Gas'!K62)</f>
        <v>2237.3000000002794</v>
      </c>
      <c r="L53" s="3">
        <f>SUM('Ablesewerte Gas'!M62-'Ablesewerte Gas'!L62)</f>
        <v>4483.5999999996275</v>
      </c>
      <c r="M53" s="3">
        <f>SUM('Ablesewerte Gas'!N62-'Ablesewerte Gas'!M62)</f>
        <v>7654.7000000001863</v>
      </c>
      <c r="N53" s="3">
        <f>SUM('Ablesewerte Gas'!O62-'Ablesewerte Gas'!N62)</f>
        <v>8062.6000000000931</v>
      </c>
      <c r="P53" s="3">
        <f>SUM(C53:O53)</f>
        <v>59153.800000000279</v>
      </c>
    </row>
    <row r="54" spans="1:16" x14ac:dyDescent="0.2">
      <c r="A54" t="str">
        <f>'Ablesewerte Gas'!A63</f>
        <v>Zwischenzähler Küche</v>
      </c>
      <c r="C54" s="3">
        <f>SUM('Ablesewerte Gas'!D63-'Ablesewerte Gas'!C63)</f>
        <v>87.760000000000218</v>
      </c>
      <c r="D54" s="3">
        <f>SUM('Ablesewerte Gas'!E63-'Ablesewerte Gas'!D63)</f>
        <v>113.53999999999996</v>
      </c>
      <c r="E54" s="3">
        <f>SUM('Ablesewerte Gas'!F63-'Ablesewerte Gas'!E63)</f>
        <v>112.36000000000058</v>
      </c>
      <c r="F54" s="3">
        <f>SUM('Ablesewerte Gas'!G63-'Ablesewerte Gas'!F63)</f>
        <v>63.039999999999964</v>
      </c>
      <c r="G54" s="3">
        <f>SUM('Ablesewerte Gas'!H63-'Ablesewerte Gas'!G63)</f>
        <v>103.17000000000007</v>
      </c>
      <c r="H54" s="3">
        <f>SUM('Ablesewerte Gas'!I63-'Ablesewerte Gas'!H63)</f>
        <v>72.199999999999818</v>
      </c>
      <c r="I54" s="3">
        <f>SUM('Ablesewerte Gas'!J63-'Ablesewerte Gas'!I63)</f>
        <v>73.059999999999491</v>
      </c>
      <c r="J54" s="3">
        <f>SUM('Ablesewerte Gas'!K63-'Ablesewerte Gas'!J63)</f>
        <v>46.570000000000618</v>
      </c>
      <c r="K54" s="3">
        <f>SUM('Ablesewerte Gas'!L63-'Ablesewerte Gas'!K63)</f>
        <v>92.380000000000109</v>
      </c>
      <c r="L54" s="3">
        <f>SUM('Ablesewerte Gas'!M63-'Ablesewerte Gas'!L63)</f>
        <v>106.45999999999913</v>
      </c>
      <c r="M54" s="3">
        <f>SUM('Ablesewerte Gas'!N63-'Ablesewerte Gas'!M63)</f>
        <v>84.400000000000546</v>
      </c>
      <c r="N54" s="3">
        <f>SUM('Ablesewerte Gas'!O63-'Ablesewerte Gas'!N63)</f>
        <v>70.510000000000218</v>
      </c>
      <c r="P54" s="3">
        <f>SUM(C54:O54)</f>
        <v>1025.4500000000007</v>
      </c>
    </row>
    <row r="55" spans="1:16" x14ac:dyDescent="0.2">
      <c r="A55" t="str">
        <f>'Ablesewerte Gas'!A64</f>
        <v>alte Aula</v>
      </c>
      <c r="C55" s="3">
        <f>SUM('Ablesewerte Gas'!D64-'Ablesewerte Gas'!C64)</f>
        <v>811.89999999999418</v>
      </c>
      <c r="D55" s="3">
        <f>SUM('Ablesewerte Gas'!E64-'Ablesewerte Gas'!D64)</f>
        <v>682.5</v>
      </c>
      <c r="E55" s="3">
        <f>SUM('Ablesewerte Gas'!F64-'Ablesewerte Gas'!E64)</f>
        <v>430.80000000001746</v>
      </c>
      <c r="F55" s="3">
        <f>SUM('Ablesewerte Gas'!G64-'Ablesewerte Gas'!F64)</f>
        <v>104.98999999999069</v>
      </c>
      <c r="G55" s="3">
        <f>SUM('Ablesewerte Gas'!H64-'Ablesewerte Gas'!G64)</f>
        <v>45.080000000016298</v>
      </c>
      <c r="H55" s="3">
        <f>SUM('Ablesewerte Gas'!I64-'Ablesewerte Gas'!H64)</f>
        <v>12.159999999974389</v>
      </c>
      <c r="I55" s="3">
        <f>SUM('Ablesewerte Gas'!J64-'Ablesewerte Gas'!I64)</f>
        <v>9.2700000000186265</v>
      </c>
      <c r="J55" s="3">
        <f>SUM('Ablesewerte Gas'!K64-'Ablesewerte Gas'!J64)</f>
        <v>2.3999999999941792</v>
      </c>
      <c r="K55" s="3">
        <f>SUM('Ablesewerte Gas'!L64-'Ablesewerte Gas'!K64)</f>
        <v>38.320000000006985</v>
      </c>
      <c r="L55" s="3">
        <f>SUM('Ablesewerte Gas'!M64-'Ablesewerte Gas'!L64)</f>
        <v>244.48999999999069</v>
      </c>
      <c r="M55" s="3">
        <f>SUM('Ablesewerte Gas'!N64-'Ablesewerte Gas'!M64)</f>
        <v>542.5</v>
      </c>
      <c r="N55" s="3">
        <f>SUM('Ablesewerte Gas'!O64-'Ablesewerte Gas'!N64)</f>
        <v>543.91000000000349</v>
      </c>
      <c r="P55" s="3">
        <f>SUM(C55:O55)</f>
        <v>3468.320000000007</v>
      </c>
    </row>
    <row r="56" spans="1:16" x14ac:dyDescent="0.2">
      <c r="A56" t="str">
        <f>'Ablesewerte Gas'!A65</f>
        <v>Lichtenstern 13</v>
      </c>
      <c r="C56" s="3">
        <f>SUM('Ablesewerte Gas'!D65-'Ablesewerte Gas'!C65)</f>
        <v>559.36999999999534</v>
      </c>
      <c r="D56" s="3">
        <f>SUM('Ablesewerte Gas'!E65-'Ablesewerte Gas'!D65)</f>
        <v>434.90400000000227</v>
      </c>
      <c r="E56" s="3">
        <f>SUM('Ablesewerte Gas'!F65-'Ablesewerte Gas'!E65)</f>
        <v>399.22600000000239</v>
      </c>
      <c r="F56" s="3">
        <f>SUM('Ablesewerte Gas'!G65-'Ablesewerte Gas'!F65)</f>
        <v>202.93000000000029</v>
      </c>
      <c r="G56" s="3">
        <f>SUM('Ablesewerte Gas'!H65-'Ablesewerte Gas'!G65)</f>
        <v>139.23499999999331</v>
      </c>
      <c r="H56" s="3">
        <f>SUM('Ablesewerte Gas'!I65-'Ablesewerte Gas'!H65)</f>
        <v>103.72200000000157</v>
      </c>
      <c r="I56" s="3">
        <f>SUM('Ablesewerte Gas'!J65-'Ablesewerte Gas'!I65)</f>
        <v>107.23500000000058</v>
      </c>
      <c r="J56" s="3">
        <f>SUM('Ablesewerte Gas'!K65-'Ablesewerte Gas'!J65)</f>
        <v>79.198000000003958</v>
      </c>
      <c r="K56" s="3">
        <f>SUM('Ablesewerte Gas'!L65-'Ablesewerte Gas'!K65)</f>
        <v>111.62999999999738</v>
      </c>
      <c r="L56" s="3">
        <f>SUM('Ablesewerte Gas'!M65-'Ablesewerte Gas'!L65)</f>
        <v>223.06999999999971</v>
      </c>
      <c r="M56" s="3">
        <f>SUM('Ablesewerte Gas'!N65-'Ablesewerte Gas'!M65)</f>
        <v>325.60899999999674</v>
      </c>
      <c r="N56" s="3">
        <f>SUM('Ablesewerte Gas'!O65-'Ablesewerte Gas'!N65)</f>
        <v>372.89100000000326</v>
      </c>
      <c r="P56" s="3">
        <f>SUM(C56:O56)</f>
        <v>3059.0199999999968</v>
      </c>
    </row>
    <row r="59" spans="1:16" ht="15.75" x14ac:dyDescent="0.25">
      <c r="A59" s="1">
        <f>'Ablesewerte Gas'!A68</f>
        <v>2012</v>
      </c>
      <c r="B59" s="13" t="str">
        <f>'Ablesewerte Gas'!B68</f>
        <v>m³</v>
      </c>
      <c r="C59" s="13" t="str">
        <f>'Ablesewerte Gas'!C68</f>
        <v>Jan</v>
      </c>
      <c r="D59" s="13" t="str">
        <f>'Ablesewerte Gas'!D68</f>
        <v>Feb</v>
      </c>
      <c r="E59" s="13" t="str">
        <f>'Ablesewerte Gas'!E68</f>
        <v>Mrz</v>
      </c>
      <c r="F59" s="13" t="str">
        <f>'Ablesewerte Gas'!F68</f>
        <v>Apr</v>
      </c>
      <c r="G59" s="13" t="str">
        <f>'Ablesewerte Gas'!G68</f>
        <v>Mai</v>
      </c>
      <c r="H59" s="13" t="str">
        <f>'Ablesewerte Gas'!H68</f>
        <v>Jun</v>
      </c>
      <c r="I59" s="13" t="str">
        <f>'Ablesewerte Gas'!I68</f>
        <v>Jul</v>
      </c>
      <c r="J59" s="13" t="str">
        <f>'Ablesewerte Gas'!J68</f>
        <v>Aug</v>
      </c>
      <c r="K59" s="13" t="str">
        <f>'Ablesewerte Gas'!K68</f>
        <v>Sep</v>
      </c>
      <c r="L59" s="13" t="str">
        <f>'Ablesewerte Gas'!L68</f>
        <v>Okt</v>
      </c>
      <c r="M59" s="13" t="str">
        <f>'Ablesewerte Gas'!M68</f>
        <v>Nov</v>
      </c>
      <c r="N59" s="13" t="str">
        <f>'Ablesewerte Gas'!N68</f>
        <v>Dez</v>
      </c>
    </row>
    <row r="61" spans="1:16" x14ac:dyDescent="0.2">
      <c r="A61" t="str">
        <f>'Ablesewerte Gas'!A70</f>
        <v>Hauptzähler Internat</v>
      </c>
      <c r="C61" s="3">
        <f>SUM('Ablesewerte Gas'!D70-'Ablesewerte Gas'!C70)</f>
        <v>11397.899999999907</v>
      </c>
      <c r="D61" s="3">
        <f>SUM('Ablesewerte Gas'!E70-'Ablesewerte Gas'!D70)</f>
        <v>12084</v>
      </c>
      <c r="E61" s="3">
        <f>SUM('Ablesewerte Gas'!F70-'Ablesewerte Gas'!E70)</f>
        <v>5906.2000000001863</v>
      </c>
      <c r="F61" s="3">
        <f>SUM('Ablesewerte Gas'!G70-'Ablesewerte Gas'!F70)</f>
        <v>4279</v>
      </c>
      <c r="G61" s="3">
        <f>SUM('Ablesewerte Gas'!H70-'Ablesewerte Gas'!G70)</f>
        <v>2228</v>
      </c>
      <c r="H61" s="3">
        <f>SUM('Ablesewerte Gas'!I70-'Ablesewerte Gas'!H70)</f>
        <v>1734.7999999998137</v>
      </c>
      <c r="I61" s="3">
        <f>SUM('Ablesewerte Gas'!J70-'Ablesewerte Gas'!I70)</f>
        <v>1250.3999999999069</v>
      </c>
      <c r="J61" s="3">
        <f>SUM('Ablesewerte Gas'!K70-'Ablesewerte Gas'!J70)</f>
        <v>1473.3999999999069</v>
      </c>
      <c r="K61" s="3">
        <f>SUM('Ablesewerte Gas'!L70-'Ablesewerte Gas'!K70)</f>
        <v>2167</v>
      </c>
      <c r="L61" s="3">
        <f>SUM('Ablesewerte Gas'!M70-'Ablesewerte Gas'!L70)</f>
        <v>5582.9000000003725</v>
      </c>
      <c r="M61" s="3">
        <f>SUM('Ablesewerte Gas'!N70-'Ablesewerte Gas'!M70)</f>
        <v>7678.0999999996275</v>
      </c>
      <c r="N61" s="3">
        <f>SUM('Ablesewerte Gas'!O70-'Ablesewerte Gas'!N70)</f>
        <v>10491.200000000186</v>
      </c>
      <c r="P61" s="3">
        <f>SUM(C61:O61)</f>
        <v>66272.899999999907</v>
      </c>
    </row>
    <row r="62" spans="1:16" x14ac:dyDescent="0.2">
      <c r="A62" t="str">
        <f>'Ablesewerte Gas'!A71</f>
        <v>Zwischenzähler Küche</v>
      </c>
      <c r="C62" s="3">
        <f>SUM('Ablesewerte Gas'!D71-'Ablesewerte Gas'!C71)</f>
        <v>99.710000000000036</v>
      </c>
      <c r="D62" s="3">
        <f>SUM('Ablesewerte Gas'!E71-'Ablesewerte Gas'!D71)</f>
        <v>78.1299999999992</v>
      </c>
      <c r="E62" s="3">
        <f>SUM('Ablesewerte Gas'!F71-'Ablesewerte Gas'!E71)</f>
        <v>91.130000000000109</v>
      </c>
      <c r="F62" s="3">
        <f>SUM('Ablesewerte Gas'!G71-'Ablesewerte Gas'!F71)</f>
        <v>56.160000000000764</v>
      </c>
      <c r="G62" s="3">
        <f>SUM('Ablesewerte Gas'!H71-'Ablesewerte Gas'!G71)</f>
        <v>83.849999999999454</v>
      </c>
      <c r="H62" s="3">
        <f>SUM('Ablesewerte Gas'!I71-'Ablesewerte Gas'!H71)</f>
        <v>58.340000000000146</v>
      </c>
      <c r="I62" s="3">
        <f>SUM('Ablesewerte Gas'!J71-'Ablesewerte Gas'!I71)</f>
        <v>48.489999999999782</v>
      </c>
      <c r="J62" s="3">
        <f>SUM('Ablesewerte Gas'!K71-'Ablesewerte Gas'!J71)</f>
        <v>26.720000000000255</v>
      </c>
      <c r="K62" s="3">
        <f>SUM('Ablesewerte Gas'!L71-'Ablesewerte Gas'!K71)</f>
        <v>72.319999999999709</v>
      </c>
      <c r="L62" s="3">
        <f>SUM('Ablesewerte Gas'!M71-'Ablesewerte Gas'!L71)</f>
        <v>85.960000000000036</v>
      </c>
      <c r="M62" s="3">
        <f>SUM('Ablesewerte Gas'!N71-'Ablesewerte Gas'!M71)</f>
        <v>79.380000000000109</v>
      </c>
      <c r="N62" s="3">
        <f>SUM('Ablesewerte Gas'!O71-'Ablesewerte Gas'!N71)</f>
        <v>67.260000000000218</v>
      </c>
      <c r="P62" s="3">
        <f>SUM(C62:O62)</f>
        <v>847.44999999999982</v>
      </c>
    </row>
    <row r="63" spans="1:16" x14ac:dyDescent="0.2">
      <c r="A63" t="str">
        <f>'Ablesewerte Gas'!A72</f>
        <v>alte Aula</v>
      </c>
      <c r="C63" s="3">
        <f>SUM('Ablesewerte Gas'!D72-'Ablesewerte Gas'!C72)</f>
        <v>849.01999999998952</v>
      </c>
      <c r="D63" s="3">
        <f>SUM('Ablesewerte Gas'!E72-'Ablesewerte Gas'!D72)</f>
        <v>895.08999999999651</v>
      </c>
      <c r="E63" s="3">
        <f>SUM('Ablesewerte Gas'!F72-'Ablesewerte Gas'!E72)</f>
        <v>369.96000000002095</v>
      </c>
      <c r="F63" s="3">
        <f>SUM('Ablesewerte Gas'!G72-'Ablesewerte Gas'!F72)</f>
        <v>176.6699999999837</v>
      </c>
      <c r="G63" s="3">
        <f>SUM('Ablesewerte Gas'!H72-'Ablesewerte Gas'!G72)</f>
        <v>47.64000000001397</v>
      </c>
      <c r="H63" s="3">
        <f>SUM('Ablesewerte Gas'!I72-'Ablesewerte Gas'!H72)</f>
        <v>0</v>
      </c>
      <c r="I63" s="3">
        <f>SUM('Ablesewerte Gas'!J72-'Ablesewerte Gas'!I72)</f>
        <v>0</v>
      </c>
      <c r="J63" s="3">
        <f>SUM('Ablesewerte Gas'!K72-'Ablesewerte Gas'!J72)</f>
        <v>0</v>
      </c>
      <c r="K63" s="3">
        <f>SUM('Ablesewerte Gas'!L72-'Ablesewerte Gas'!K72)</f>
        <v>45.619999999995343</v>
      </c>
      <c r="L63" s="3">
        <f>SUM('Ablesewerte Gas'!M72-'Ablesewerte Gas'!L72)</f>
        <v>277.48999999999069</v>
      </c>
      <c r="M63" s="3">
        <f>SUM('Ablesewerte Gas'!N72-'Ablesewerte Gas'!M72)</f>
        <v>537.88000000000466</v>
      </c>
      <c r="N63" s="3">
        <f>SUM('Ablesewerte Gas'!O72-'Ablesewerte Gas'!N72)</f>
        <v>693.02999999999884</v>
      </c>
      <c r="P63" s="3">
        <f>SUM(C63:O63)</f>
        <v>3892.3999999999942</v>
      </c>
    </row>
    <row r="64" spans="1:16" x14ac:dyDescent="0.2">
      <c r="A64" t="str">
        <f>'Ablesewerte Gas'!A73</f>
        <v>Lichtenstern 13</v>
      </c>
      <c r="C64" s="3">
        <f>SUM('Ablesewerte Gas'!D73-'Ablesewerte Gas'!C73)</f>
        <v>505.04000000000087</v>
      </c>
      <c r="D64" s="3">
        <f>SUM('Ablesewerte Gas'!E73-'Ablesewerte Gas'!D73)</f>
        <v>614.79999999999563</v>
      </c>
      <c r="E64" s="3">
        <f>SUM('Ablesewerte Gas'!F73-'Ablesewerte Gas'!E73)</f>
        <v>332.39000000000669</v>
      </c>
      <c r="F64" s="3">
        <f>SUM('Ablesewerte Gas'!G73-'Ablesewerte Gas'!F73)</f>
        <v>302.58999999999651</v>
      </c>
      <c r="G64" s="3">
        <f>SUM('Ablesewerte Gas'!H73-'Ablesewerte Gas'!G73)</f>
        <v>-48065</v>
      </c>
      <c r="H64" s="3">
        <f>SUM('Ablesewerte Gas'!I73-'Ablesewerte Gas'!H73)</f>
        <v>85.782000000000011</v>
      </c>
      <c r="I64" s="3">
        <f>SUM('Ablesewerte Gas'!J73-'Ablesewerte Gas'!I73)</f>
        <v>62.448000000000008</v>
      </c>
      <c r="J64" s="3">
        <f>SUM('Ablesewerte Gas'!K73-'Ablesewerte Gas'!J73)</f>
        <v>83.659999999999968</v>
      </c>
      <c r="K64" s="3">
        <f>SUM('Ablesewerte Gas'!L73-'Ablesewerte Gas'!K73)</f>
        <v>93.110000000000014</v>
      </c>
      <c r="L64" s="3">
        <f>SUM('Ablesewerte Gas'!M73-'Ablesewerte Gas'!L73)</f>
        <v>265.83</v>
      </c>
      <c r="M64" s="3">
        <f>SUM('Ablesewerte Gas'!N73-'Ablesewerte Gas'!M73)</f>
        <v>364.93899999999996</v>
      </c>
      <c r="N64" s="3">
        <f>SUM('Ablesewerte Gas'!O73-'Ablesewerte Gas'!N73)</f>
        <v>532.09799999999996</v>
      </c>
      <c r="P64" s="3">
        <f>SUM(C64:O64)</f>
        <v>-44822.313000000002</v>
      </c>
    </row>
  </sheetData>
  <phoneticPr fontId="3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0D6A-ACE9-4E45-B69B-0434D5AD686E}">
  <sheetPr>
    <tabColor indexed="45"/>
  </sheetPr>
  <dimension ref="A1:S147"/>
  <sheetViews>
    <sheetView topLeftCell="A115" workbookViewId="0">
      <selection activeCell="O148" sqref="O148"/>
    </sheetView>
  </sheetViews>
  <sheetFormatPr baseColWidth="10" defaultRowHeight="12.75" x14ac:dyDescent="0.2"/>
  <cols>
    <col min="1" max="1" width="19.42578125" customWidth="1"/>
    <col min="2" max="3" width="10.85546875" customWidth="1"/>
    <col min="7" max="8" width="11.7109375" bestFit="1" customWidth="1"/>
    <col min="14" max="14" width="12.7109375" bestFit="1" customWidth="1"/>
    <col min="16" max="16" width="13.42578125" customWidth="1"/>
  </cols>
  <sheetData>
    <row r="1" spans="1:18" ht="15.75" x14ac:dyDescent="0.25">
      <c r="A1" s="1">
        <v>2005</v>
      </c>
    </row>
    <row r="2" spans="1:18" ht="15.75" x14ac:dyDescent="0.25">
      <c r="A2" s="1" t="s">
        <v>47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</row>
    <row r="3" spans="1:18" x14ac:dyDescent="0.2">
      <c r="C3" s="2" t="s">
        <v>38</v>
      </c>
      <c r="D3" s="2" t="s">
        <v>20</v>
      </c>
      <c r="E3" s="2" t="s">
        <v>39</v>
      </c>
      <c r="F3" s="2" t="s">
        <v>40</v>
      </c>
      <c r="G3" s="2" t="s">
        <v>41</v>
      </c>
      <c r="H3" s="2" t="s">
        <v>24</v>
      </c>
      <c r="I3" s="2" t="s">
        <v>42</v>
      </c>
      <c r="J3" s="2" t="s">
        <v>43</v>
      </c>
      <c r="K3" s="2" t="s">
        <v>27</v>
      </c>
      <c r="L3" s="2" t="s">
        <v>44</v>
      </c>
      <c r="M3" s="2" t="s">
        <v>45</v>
      </c>
      <c r="N3" s="2" t="s">
        <v>29</v>
      </c>
      <c r="O3" t="s">
        <v>18</v>
      </c>
    </row>
    <row r="4" spans="1:18" x14ac:dyDescent="0.2">
      <c r="A4" t="s">
        <v>48</v>
      </c>
      <c r="C4" s="5">
        <v>66446</v>
      </c>
      <c r="D4" s="5">
        <v>74777.3</v>
      </c>
      <c r="E4" s="5"/>
      <c r="F4" s="5"/>
      <c r="G4" s="3">
        <v>84015.6</v>
      </c>
      <c r="H4" s="3">
        <v>85895</v>
      </c>
      <c r="I4" s="3">
        <v>88333.7</v>
      </c>
      <c r="J4" s="3">
        <v>90302.6</v>
      </c>
      <c r="K4" s="3">
        <v>91789.7</v>
      </c>
      <c r="L4" s="3">
        <v>94063.1</v>
      </c>
      <c r="M4" s="3">
        <v>97514.9</v>
      </c>
      <c r="N4" s="3">
        <v>100831.7</v>
      </c>
      <c r="O4" s="3">
        <v>104666.1</v>
      </c>
      <c r="Q4" s="3">
        <f t="shared" ref="Q4:Q15" si="0">SUM(O4-C4)</f>
        <v>38220.100000000006</v>
      </c>
    </row>
    <row r="5" spans="1:18" x14ac:dyDescent="0.2">
      <c r="A5" t="s">
        <v>60</v>
      </c>
      <c r="C5" s="5"/>
      <c r="D5" s="5">
        <v>12286.6</v>
      </c>
      <c r="E5" s="5"/>
      <c r="F5" s="5"/>
      <c r="G5" s="3">
        <v>19107</v>
      </c>
      <c r="H5" s="3">
        <v>20463.5</v>
      </c>
      <c r="I5" s="3">
        <v>22065.200000000001</v>
      </c>
      <c r="J5" s="3">
        <v>23422.5</v>
      </c>
      <c r="K5" s="3">
        <v>24479.3</v>
      </c>
      <c r="L5" s="3">
        <v>25962.6</v>
      </c>
      <c r="M5" s="3">
        <v>28431</v>
      </c>
      <c r="N5" s="3">
        <v>30861.1</v>
      </c>
      <c r="O5" s="3">
        <v>33715.5</v>
      </c>
      <c r="Q5" s="3">
        <f>SUM(O5-G5)</f>
        <v>14608.5</v>
      </c>
      <c r="R5" t="s">
        <v>63</v>
      </c>
    </row>
    <row r="6" spans="1:18" x14ac:dyDescent="0.2">
      <c r="A6" t="s">
        <v>49</v>
      </c>
      <c r="C6" s="5">
        <v>27840.5</v>
      </c>
      <c r="D6" s="5"/>
      <c r="E6" s="5"/>
      <c r="F6" s="5"/>
      <c r="G6" s="3">
        <v>28718.5</v>
      </c>
      <c r="H6" s="3">
        <v>28814.400000000001</v>
      </c>
      <c r="I6" s="3">
        <v>28949.9</v>
      </c>
      <c r="J6" s="3">
        <v>29052.400000000001</v>
      </c>
      <c r="K6" s="3">
        <v>29077.8</v>
      </c>
      <c r="L6" s="3">
        <v>29238.7</v>
      </c>
      <c r="M6" s="3">
        <v>29432.7</v>
      </c>
      <c r="N6" s="3">
        <v>29643.4</v>
      </c>
      <c r="O6" s="3">
        <v>29863.5</v>
      </c>
      <c r="Q6" s="3">
        <f t="shared" si="0"/>
        <v>2023</v>
      </c>
    </row>
    <row r="7" spans="1:18" x14ac:dyDescent="0.2">
      <c r="A7" t="s">
        <v>50</v>
      </c>
      <c r="C7" s="5">
        <v>35661.199999999997</v>
      </c>
      <c r="D7" s="5"/>
      <c r="E7" s="5"/>
      <c r="F7" s="5"/>
      <c r="G7" s="3">
        <v>36475</v>
      </c>
      <c r="H7" s="3">
        <v>36579.4</v>
      </c>
      <c r="I7" s="3">
        <v>36647.800000000003</v>
      </c>
      <c r="J7" s="3">
        <v>36708.400000000001</v>
      </c>
      <c r="K7" s="3">
        <v>36778.400000000001</v>
      </c>
      <c r="L7" s="3">
        <v>36860.400000000001</v>
      </c>
      <c r="M7" s="3">
        <v>37005.5</v>
      </c>
      <c r="N7" s="3">
        <v>37134.699999999997</v>
      </c>
      <c r="O7" s="3">
        <v>37331.4</v>
      </c>
      <c r="Q7" s="3">
        <f t="shared" si="0"/>
        <v>1670.2000000000044</v>
      </c>
    </row>
    <row r="8" spans="1:18" x14ac:dyDescent="0.2">
      <c r="A8" t="s">
        <v>52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t="s">
        <v>72</v>
      </c>
      <c r="Q8" s="3" t="s">
        <v>35</v>
      </c>
    </row>
    <row r="9" spans="1:18" x14ac:dyDescent="0.2">
      <c r="A9" t="s">
        <v>55</v>
      </c>
      <c r="C9" s="3">
        <v>68.959999999999994</v>
      </c>
      <c r="D9" s="3">
        <v>108.77</v>
      </c>
      <c r="E9" s="3">
        <v>145.94</v>
      </c>
      <c r="F9" s="3">
        <v>191.1</v>
      </c>
      <c r="G9" s="3">
        <v>240.29</v>
      </c>
      <c r="H9" s="3">
        <v>273.2</v>
      </c>
      <c r="I9" s="3">
        <v>320.42</v>
      </c>
      <c r="J9" s="3">
        <v>362.13</v>
      </c>
      <c r="K9" s="3">
        <v>424.6</v>
      </c>
      <c r="L9" s="3">
        <v>469.69</v>
      </c>
      <c r="M9" s="3">
        <v>523.25</v>
      </c>
      <c r="N9" s="3">
        <v>567.32000000000005</v>
      </c>
      <c r="O9" s="3">
        <v>612.84</v>
      </c>
      <c r="Q9" s="3">
        <f t="shared" si="0"/>
        <v>543.88</v>
      </c>
    </row>
    <row r="10" spans="1:18" x14ac:dyDescent="0.2">
      <c r="A10" t="s">
        <v>56</v>
      </c>
      <c r="C10" s="3">
        <v>51.56</v>
      </c>
      <c r="D10" s="3">
        <v>81.650000000000006</v>
      </c>
      <c r="E10" s="3">
        <v>109.43</v>
      </c>
      <c r="F10" s="3">
        <v>135.19</v>
      </c>
      <c r="G10" s="3">
        <v>160.25</v>
      </c>
      <c r="H10" s="3">
        <v>176.85</v>
      </c>
      <c r="I10" s="3">
        <v>199.43</v>
      </c>
      <c r="J10" s="3">
        <v>219.18</v>
      </c>
      <c r="K10" s="3">
        <v>235.4</v>
      </c>
      <c r="L10" s="3">
        <v>256.62</v>
      </c>
      <c r="M10" s="3">
        <v>285.18</v>
      </c>
      <c r="N10" s="3">
        <v>310.83999999999997</v>
      </c>
      <c r="O10" s="3">
        <v>339.55</v>
      </c>
      <c r="Q10" s="3">
        <f t="shared" si="0"/>
        <v>287.99</v>
      </c>
    </row>
    <row r="11" spans="1:18" x14ac:dyDescent="0.2">
      <c r="A11" t="s">
        <v>57</v>
      </c>
      <c r="C11" s="3">
        <v>11675.9</v>
      </c>
      <c r="D11" s="3">
        <v>12206.1</v>
      </c>
      <c r="E11" s="3">
        <v>12666.5</v>
      </c>
      <c r="F11" s="3">
        <v>13120</v>
      </c>
      <c r="G11" s="3">
        <v>13660.4</v>
      </c>
      <c r="H11" s="3">
        <v>14034.7</v>
      </c>
      <c r="I11" s="3">
        <v>14488.1</v>
      </c>
      <c r="J11" s="3">
        <v>14892.7</v>
      </c>
      <c r="K11" s="3">
        <v>15239.1</v>
      </c>
      <c r="L11" s="3">
        <v>15886.4</v>
      </c>
      <c r="M11" s="3">
        <v>16674.599999999999</v>
      </c>
      <c r="N11" s="3">
        <v>17441.400000000001</v>
      </c>
      <c r="O11" s="3">
        <v>18250.599999999999</v>
      </c>
      <c r="Q11" s="3">
        <f t="shared" si="0"/>
        <v>6574.6999999999989</v>
      </c>
    </row>
    <row r="12" spans="1:18" x14ac:dyDescent="0.2">
      <c r="A12" t="s">
        <v>58</v>
      </c>
      <c r="C12" s="3">
        <v>25.4</v>
      </c>
      <c r="D12" s="3">
        <v>25.4</v>
      </c>
      <c r="E12" s="3">
        <v>25.4</v>
      </c>
      <c r="F12" s="3">
        <v>25.4</v>
      </c>
      <c r="G12" s="3">
        <v>25.4</v>
      </c>
      <c r="H12" s="3">
        <v>25.4</v>
      </c>
      <c r="I12" s="3">
        <v>25.4</v>
      </c>
      <c r="J12" s="3">
        <v>25.4</v>
      </c>
      <c r="K12" s="3">
        <v>25.4</v>
      </c>
      <c r="L12" s="3">
        <v>25.4</v>
      </c>
      <c r="M12" s="3">
        <v>25.4</v>
      </c>
      <c r="N12" s="3">
        <v>25.4</v>
      </c>
      <c r="O12" s="3">
        <v>25.4</v>
      </c>
      <c r="Q12" s="3">
        <f t="shared" si="0"/>
        <v>0</v>
      </c>
    </row>
    <row r="13" spans="1:18" x14ac:dyDescent="0.2">
      <c r="A13" t="s">
        <v>59</v>
      </c>
      <c r="C13" s="3">
        <v>1026.7</v>
      </c>
      <c r="D13" s="3">
        <v>1827.3</v>
      </c>
      <c r="E13" s="3">
        <v>1829.5</v>
      </c>
      <c r="F13" s="3">
        <v>1830.9</v>
      </c>
      <c r="G13" s="3">
        <v>1834.8</v>
      </c>
      <c r="H13" s="3">
        <v>1840.1</v>
      </c>
      <c r="I13" s="3">
        <v>1841.5</v>
      </c>
      <c r="J13" s="3">
        <v>1843.2</v>
      </c>
      <c r="K13" s="3">
        <v>1846.3</v>
      </c>
      <c r="L13" s="3">
        <v>1847.8</v>
      </c>
      <c r="M13" s="3">
        <v>1849.3</v>
      </c>
      <c r="N13" s="3">
        <v>1853.3</v>
      </c>
      <c r="O13" s="3">
        <v>1854</v>
      </c>
      <c r="Q13" s="3">
        <f t="shared" si="0"/>
        <v>827.3</v>
      </c>
    </row>
    <row r="14" spans="1:18" x14ac:dyDescent="0.2">
      <c r="A14" t="s">
        <v>53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t="s">
        <v>72</v>
      </c>
      <c r="Q14" s="3" t="s">
        <v>35</v>
      </c>
    </row>
    <row r="15" spans="1:18" x14ac:dyDescent="0.2">
      <c r="A15" t="s">
        <v>54</v>
      </c>
      <c r="C15" s="3">
        <v>7137.2</v>
      </c>
      <c r="D15" s="3">
        <v>7833.5</v>
      </c>
      <c r="E15" s="3">
        <v>8516</v>
      </c>
      <c r="F15" s="3">
        <v>9235.4</v>
      </c>
      <c r="G15" s="3">
        <v>9906.9</v>
      </c>
      <c r="H15" s="3">
        <v>10382.1</v>
      </c>
      <c r="I15" s="3">
        <v>10877.7</v>
      </c>
      <c r="J15" s="3">
        <v>11331.4</v>
      </c>
      <c r="K15" s="3">
        <v>11564.2</v>
      </c>
      <c r="L15" s="3">
        <v>12120.7</v>
      </c>
      <c r="M15" s="3">
        <v>12850.4</v>
      </c>
      <c r="N15" s="3">
        <v>13435.6</v>
      </c>
      <c r="O15" s="3">
        <v>14283.4</v>
      </c>
      <c r="Q15" s="3">
        <f t="shared" si="0"/>
        <v>7146.2</v>
      </c>
    </row>
    <row r="17" spans="1:18" x14ac:dyDescent="0.2">
      <c r="A17" s="9" t="s">
        <v>73</v>
      </c>
      <c r="B17" s="9"/>
    </row>
    <row r="18" spans="1:18" x14ac:dyDescent="0.2">
      <c r="A18" s="9" t="s">
        <v>74</v>
      </c>
      <c r="B18" s="9"/>
    </row>
    <row r="20" spans="1:18" ht="15.75" x14ac:dyDescent="0.25">
      <c r="A20" s="1">
        <v>2006</v>
      </c>
    </row>
    <row r="21" spans="1:18" ht="15.75" x14ac:dyDescent="0.25">
      <c r="A21" s="1" t="s">
        <v>47</v>
      </c>
      <c r="B21" t="s">
        <v>70</v>
      </c>
      <c r="C21" s="2" t="s">
        <v>6</v>
      </c>
      <c r="D21" s="2" t="s">
        <v>7</v>
      </c>
      <c r="E21" s="2" t="s">
        <v>8</v>
      </c>
      <c r="F21" s="2" t="s">
        <v>9</v>
      </c>
      <c r="G21" s="2" t="s">
        <v>10</v>
      </c>
      <c r="H21" s="2" t="s">
        <v>11</v>
      </c>
      <c r="I21" s="2" t="s">
        <v>12</v>
      </c>
      <c r="J21" s="2" t="s">
        <v>13</v>
      </c>
      <c r="K21" s="2" t="s">
        <v>14</v>
      </c>
      <c r="L21" s="2" t="s">
        <v>15</v>
      </c>
      <c r="M21" s="2" t="s">
        <v>16</v>
      </c>
      <c r="N21" s="2" t="s">
        <v>17</v>
      </c>
      <c r="Q21" s="2" t="s">
        <v>61</v>
      </c>
    </row>
    <row r="22" spans="1:18" x14ac:dyDescent="0.2">
      <c r="C22" t="s">
        <v>18</v>
      </c>
      <c r="D22" t="s">
        <v>20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27</v>
      </c>
      <c r="L22" t="s">
        <v>28</v>
      </c>
      <c r="M22" t="s">
        <v>36</v>
      </c>
      <c r="N22" t="s">
        <v>29</v>
      </c>
      <c r="O22" t="s">
        <v>30</v>
      </c>
      <c r="Q22" t="s">
        <v>62</v>
      </c>
    </row>
    <row r="23" spans="1:18" x14ac:dyDescent="0.2">
      <c r="A23" t="s">
        <v>48</v>
      </c>
      <c r="B23" t="s">
        <v>35</v>
      </c>
      <c r="C23" s="3">
        <v>104666.1</v>
      </c>
      <c r="D23" s="3">
        <v>107795.7</v>
      </c>
      <c r="E23" s="3">
        <v>111877.8</v>
      </c>
      <c r="F23" s="3">
        <v>115148.2</v>
      </c>
      <c r="G23" s="3">
        <v>117801.7</v>
      </c>
      <c r="H23" s="3">
        <v>119970.2</v>
      </c>
      <c r="I23" s="3">
        <v>122680.7</v>
      </c>
      <c r="J23" s="3">
        <v>124938.2</v>
      </c>
      <c r="K23" s="3">
        <v>126527.2</v>
      </c>
      <c r="L23" s="3">
        <v>128459.6</v>
      </c>
      <c r="M23" s="3">
        <v>131926.79999999999</v>
      </c>
      <c r="N23" s="3">
        <v>135566.9</v>
      </c>
      <c r="O23" s="3">
        <v>138805.5</v>
      </c>
      <c r="Q23" s="3">
        <f>SUM(O23-C23)</f>
        <v>34139.399999999994</v>
      </c>
    </row>
    <row r="24" spans="1:18" x14ac:dyDescent="0.2">
      <c r="A24" t="s">
        <v>60</v>
      </c>
      <c r="C24" s="3">
        <v>33715.5</v>
      </c>
      <c r="D24" s="3">
        <v>35970.699999999997</v>
      </c>
      <c r="E24" s="3">
        <v>39079.300000000003</v>
      </c>
      <c r="F24" s="3">
        <v>41400.6</v>
      </c>
      <c r="G24" s="3">
        <v>43486.8</v>
      </c>
      <c r="H24" s="3">
        <v>44940.9</v>
      </c>
      <c r="I24" s="3">
        <v>46846.1</v>
      </c>
      <c r="J24" s="3">
        <v>48235.3</v>
      </c>
      <c r="K24" s="3">
        <v>49412.9</v>
      </c>
      <c r="L24" s="3">
        <v>50571.199999999997</v>
      </c>
      <c r="M24" s="3">
        <v>52946.6</v>
      </c>
      <c r="N24" s="3">
        <v>55336</v>
      </c>
      <c r="O24" s="3">
        <v>57591.3</v>
      </c>
      <c r="Q24" s="3">
        <f t="shared" ref="Q24:Q34" si="1">SUM(O24-C24)</f>
        <v>23875.800000000003</v>
      </c>
      <c r="R24" s="3">
        <f>SUM(Q23-Q24)</f>
        <v>10263.599999999991</v>
      </c>
    </row>
    <row r="25" spans="1:18" x14ac:dyDescent="0.2">
      <c r="A25" t="s">
        <v>49</v>
      </c>
      <c r="C25" s="3">
        <v>29863.5</v>
      </c>
      <c r="D25" s="3">
        <v>30070.5</v>
      </c>
      <c r="E25" s="3">
        <v>30303.200000000001</v>
      </c>
      <c r="F25" s="3">
        <v>30519.200000000001</v>
      </c>
      <c r="G25" s="3">
        <v>30629.599999999999</v>
      </c>
      <c r="H25" s="3">
        <v>30752.9</v>
      </c>
      <c r="I25" s="3">
        <v>30844.6</v>
      </c>
      <c r="J25" s="3">
        <v>30866.799999999999</v>
      </c>
      <c r="K25" s="3">
        <v>30880</v>
      </c>
      <c r="L25" s="3">
        <v>30982.3</v>
      </c>
      <c r="M25" s="3">
        <v>31142.9</v>
      </c>
      <c r="N25" s="3">
        <v>31341.3</v>
      </c>
      <c r="O25" s="3">
        <v>31500.799999999999</v>
      </c>
      <c r="Q25" s="3">
        <f t="shared" si="1"/>
        <v>1637.2999999999993</v>
      </c>
    </row>
    <row r="26" spans="1:18" x14ac:dyDescent="0.2">
      <c r="A26" t="s">
        <v>50</v>
      </c>
      <c r="C26" s="3">
        <v>37331.4</v>
      </c>
      <c r="D26" s="3">
        <v>37489.9</v>
      </c>
      <c r="E26" s="3">
        <v>37743.699999999997</v>
      </c>
      <c r="F26" s="3">
        <v>37977.9</v>
      </c>
      <c r="G26" s="3">
        <v>38188.6</v>
      </c>
      <c r="H26" s="3">
        <v>38382.400000000001</v>
      </c>
      <c r="I26" s="3">
        <v>38529.5</v>
      </c>
      <c r="J26" s="3">
        <v>38664.5</v>
      </c>
      <c r="K26" s="3">
        <v>38716.9</v>
      </c>
      <c r="L26" s="3">
        <v>38792.300000000003</v>
      </c>
      <c r="M26" s="3">
        <v>38960.199999999997</v>
      </c>
      <c r="N26" s="3">
        <v>39152.300000000003</v>
      </c>
      <c r="O26" s="3">
        <v>39290.699999999997</v>
      </c>
      <c r="Q26" s="3">
        <f t="shared" si="1"/>
        <v>1959.2999999999956</v>
      </c>
    </row>
    <row r="27" spans="1:18" x14ac:dyDescent="0.2">
      <c r="A27" t="s">
        <v>52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 t="s">
        <v>89</v>
      </c>
      <c r="Q27" s="3" t="s">
        <v>35</v>
      </c>
    </row>
    <row r="28" spans="1:18" x14ac:dyDescent="0.2">
      <c r="A28" t="s">
        <v>55</v>
      </c>
      <c r="C28" s="3">
        <v>612.84</v>
      </c>
      <c r="D28" s="3">
        <v>652.63</v>
      </c>
      <c r="E28" s="3">
        <v>700.81</v>
      </c>
      <c r="F28" s="3">
        <v>751.08</v>
      </c>
      <c r="G28" s="3">
        <v>785.63</v>
      </c>
      <c r="H28" s="3">
        <v>827.77</v>
      </c>
      <c r="I28" s="3">
        <v>874.36</v>
      </c>
      <c r="J28" s="3">
        <v>930.6</v>
      </c>
      <c r="K28" s="3">
        <v>989.14</v>
      </c>
      <c r="L28" s="3">
        <v>1026.57</v>
      </c>
      <c r="M28" s="3">
        <v>1074.3399999999999</v>
      </c>
      <c r="N28" s="3">
        <v>1123.3699999999999</v>
      </c>
      <c r="O28" s="3">
        <v>1164.22</v>
      </c>
      <c r="Q28" s="3">
        <f t="shared" si="1"/>
        <v>551.38</v>
      </c>
    </row>
    <row r="29" spans="1:18" x14ac:dyDescent="0.2">
      <c r="A29" t="s">
        <v>56</v>
      </c>
      <c r="C29" s="3">
        <v>339.55</v>
      </c>
      <c r="D29" s="3">
        <v>363.69</v>
      </c>
      <c r="E29" s="3">
        <v>392.73</v>
      </c>
      <c r="F29" s="3">
        <v>419.82</v>
      </c>
      <c r="G29" s="3">
        <v>436.57</v>
      </c>
      <c r="H29" s="3">
        <v>456.49</v>
      </c>
      <c r="I29" s="3">
        <v>477.2</v>
      </c>
      <c r="J29" s="3">
        <v>500.8</v>
      </c>
      <c r="K29" s="3">
        <v>516.15</v>
      </c>
      <c r="L29" s="3">
        <v>534.01</v>
      </c>
      <c r="M29" s="3">
        <v>560.05999999999995</v>
      </c>
      <c r="N29" s="3">
        <v>592.91999999999996</v>
      </c>
      <c r="O29" s="3">
        <v>616.78</v>
      </c>
      <c r="Q29" s="3">
        <f t="shared" si="1"/>
        <v>277.22999999999996</v>
      </c>
    </row>
    <row r="30" spans="1:18" x14ac:dyDescent="0.2">
      <c r="A30" t="s">
        <v>57</v>
      </c>
      <c r="C30" s="3">
        <v>18250.599999999999</v>
      </c>
      <c r="D30" s="3">
        <v>19011.7</v>
      </c>
      <c r="E30" s="3">
        <v>19900.400000000001</v>
      </c>
      <c r="F30" s="3">
        <v>20702.8</v>
      </c>
      <c r="G30" s="3">
        <v>21212.6</v>
      </c>
      <c r="H30" s="3">
        <v>21768.9</v>
      </c>
      <c r="I30" s="3">
        <v>22277.3</v>
      </c>
      <c r="J30" s="3">
        <v>22843.200000000001</v>
      </c>
      <c r="K30" s="3">
        <v>23119.7</v>
      </c>
      <c r="L30" s="3">
        <v>23584</v>
      </c>
      <c r="M30" s="3">
        <v>24325.9</v>
      </c>
      <c r="N30" s="3">
        <v>25240.1</v>
      </c>
      <c r="O30" s="3">
        <v>25941.7</v>
      </c>
      <c r="Q30" s="3">
        <f t="shared" si="1"/>
        <v>7691.1000000000022</v>
      </c>
    </row>
    <row r="31" spans="1:18" x14ac:dyDescent="0.2">
      <c r="A31" t="s">
        <v>58</v>
      </c>
      <c r="C31" s="3">
        <v>25.4</v>
      </c>
      <c r="D31" s="3">
        <v>25.4</v>
      </c>
      <c r="E31" s="3">
        <v>25.4</v>
      </c>
      <c r="F31" s="3">
        <v>25.4</v>
      </c>
      <c r="G31" s="3">
        <v>25.4</v>
      </c>
      <c r="H31" s="3">
        <v>25.4</v>
      </c>
      <c r="I31" s="3">
        <v>25.4</v>
      </c>
      <c r="J31" s="3">
        <v>25.4</v>
      </c>
      <c r="K31" s="3">
        <v>25.4</v>
      </c>
      <c r="L31" s="3">
        <v>25.4</v>
      </c>
      <c r="M31" s="3">
        <v>25.4</v>
      </c>
      <c r="N31" s="3">
        <v>25.4</v>
      </c>
      <c r="O31" s="3">
        <v>25.4</v>
      </c>
      <c r="Q31" s="3">
        <f t="shared" si="1"/>
        <v>0</v>
      </c>
    </row>
    <row r="32" spans="1:18" x14ac:dyDescent="0.2">
      <c r="A32" t="s">
        <v>59</v>
      </c>
      <c r="C32" s="3">
        <v>1854</v>
      </c>
      <c r="D32" s="3">
        <v>1854.8</v>
      </c>
      <c r="E32" s="3">
        <v>1855.5</v>
      </c>
      <c r="F32" s="3">
        <v>1857</v>
      </c>
      <c r="G32" s="3">
        <v>1859.1</v>
      </c>
      <c r="H32" s="3">
        <v>1861.7</v>
      </c>
      <c r="I32" s="3">
        <v>1864.6</v>
      </c>
      <c r="J32" s="3">
        <v>1866</v>
      </c>
      <c r="K32" s="3">
        <v>1868.9</v>
      </c>
      <c r="L32" s="3">
        <v>1870.2</v>
      </c>
      <c r="M32" s="3">
        <v>1871.9</v>
      </c>
      <c r="N32" s="3">
        <v>1874.5</v>
      </c>
      <c r="O32" s="3">
        <v>1875.2</v>
      </c>
      <c r="Q32" s="3">
        <f t="shared" si="1"/>
        <v>21.200000000000045</v>
      </c>
    </row>
    <row r="33" spans="1:18" x14ac:dyDescent="0.2">
      <c r="A33" t="s">
        <v>53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 t="s">
        <v>89</v>
      </c>
      <c r="Q33" s="3" t="s">
        <v>35</v>
      </c>
    </row>
    <row r="34" spans="1:18" x14ac:dyDescent="0.2">
      <c r="A34" t="s">
        <v>54</v>
      </c>
      <c r="C34" s="3">
        <v>14283.4</v>
      </c>
      <c r="D34" s="3">
        <v>14844.5</v>
      </c>
      <c r="E34" s="3">
        <v>15638.1</v>
      </c>
      <c r="F34" s="3">
        <v>16307.4</v>
      </c>
      <c r="G34" s="3">
        <v>16923.599999999999</v>
      </c>
      <c r="H34" s="3">
        <v>17464.3</v>
      </c>
      <c r="I34" s="3">
        <v>18024.3</v>
      </c>
      <c r="J34" s="3">
        <v>18600.5</v>
      </c>
      <c r="K34" s="3">
        <v>19058.7</v>
      </c>
      <c r="L34" s="3">
        <v>19675.8</v>
      </c>
      <c r="M34" s="3">
        <v>20310.2</v>
      </c>
      <c r="N34" s="3">
        <v>21072.9</v>
      </c>
      <c r="O34" s="3">
        <v>21655.9</v>
      </c>
      <c r="Q34" s="3">
        <f t="shared" si="1"/>
        <v>7372.5000000000018</v>
      </c>
    </row>
    <row r="36" spans="1:18" x14ac:dyDescent="0.2">
      <c r="A36" t="s">
        <v>51</v>
      </c>
    </row>
    <row r="37" spans="1:18" x14ac:dyDescent="0.2">
      <c r="A37" t="s">
        <v>71</v>
      </c>
    </row>
    <row r="39" spans="1:18" ht="15.75" x14ac:dyDescent="0.25">
      <c r="A39" s="1">
        <v>2007</v>
      </c>
    </row>
    <row r="40" spans="1:18" ht="15.75" x14ac:dyDescent="0.25">
      <c r="A40" s="1" t="s">
        <v>47</v>
      </c>
      <c r="B40" t="s">
        <v>70</v>
      </c>
      <c r="C40" s="2" t="s">
        <v>6</v>
      </c>
      <c r="D40" s="2" t="s">
        <v>7</v>
      </c>
      <c r="E40" s="2" t="s">
        <v>8</v>
      </c>
      <c r="F40" s="2" t="s">
        <v>9</v>
      </c>
      <c r="G40" s="2" t="s">
        <v>10</v>
      </c>
      <c r="H40" s="2" t="s">
        <v>11</v>
      </c>
      <c r="I40" s="2" t="s">
        <v>12</v>
      </c>
      <c r="J40" s="2" t="s">
        <v>13</v>
      </c>
      <c r="K40" s="2" t="s">
        <v>14</v>
      </c>
      <c r="L40" s="2" t="s">
        <v>15</v>
      </c>
      <c r="M40" s="2" t="s">
        <v>16</v>
      </c>
      <c r="N40" s="2" t="s">
        <v>17</v>
      </c>
      <c r="O40" s="2" t="s">
        <v>6</v>
      </c>
    </row>
    <row r="41" spans="1:18" x14ac:dyDescent="0.2">
      <c r="C41" t="s">
        <v>30</v>
      </c>
      <c r="D41" t="s">
        <v>20</v>
      </c>
      <c r="E41" t="s">
        <v>39</v>
      </c>
      <c r="F41" t="s">
        <v>77</v>
      </c>
      <c r="G41" t="s">
        <v>41</v>
      </c>
      <c r="H41" t="s">
        <v>87</v>
      </c>
      <c r="I41" t="s">
        <v>79</v>
      </c>
      <c r="J41" t="s">
        <v>80</v>
      </c>
      <c r="K41" t="s">
        <v>81</v>
      </c>
      <c r="L41" s="18" t="s">
        <v>82</v>
      </c>
      <c r="M41" t="s">
        <v>83</v>
      </c>
      <c r="N41" t="s">
        <v>84</v>
      </c>
      <c r="O41" s="12">
        <v>39454</v>
      </c>
    </row>
    <row r="42" spans="1:18" x14ac:dyDescent="0.2">
      <c r="A42" t="s">
        <v>48</v>
      </c>
      <c r="C42" s="3">
        <v>138805.5</v>
      </c>
      <c r="D42" s="3">
        <v>143171.29999999999</v>
      </c>
      <c r="E42" s="3">
        <v>146910.29999999999</v>
      </c>
      <c r="F42" s="3">
        <v>150930.79999999999</v>
      </c>
      <c r="G42" s="3">
        <v>153319.5</v>
      </c>
      <c r="H42" s="3">
        <v>156176.79999999999</v>
      </c>
      <c r="I42" s="3">
        <v>158673.1</v>
      </c>
      <c r="J42" s="3">
        <v>161682.70000000001</v>
      </c>
      <c r="K42" s="3">
        <v>162366.6</v>
      </c>
      <c r="L42" s="3">
        <v>165188.4</v>
      </c>
      <c r="M42" s="3">
        <v>169923.1</v>
      </c>
      <c r="N42" s="3">
        <v>174316.7</v>
      </c>
      <c r="O42" s="3">
        <v>178701.4</v>
      </c>
      <c r="P42" s="3"/>
      <c r="Q42" s="3">
        <f>SUM(O42-C42)</f>
        <v>39895.899999999994</v>
      </c>
    </row>
    <row r="43" spans="1:18" x14ac:dyDescent="0.2">
      <c r="A43" t="s">
        <v>60</v>
      </c>
      <c r="C43" s="3">
        <v>57591.3</v>
      </c>
      <c r="D43" s="3">
        <v>60618.3</v>
      </c>
      <c r="E43" s="3">
        <v>63214.400000000001</v>
      </c>
      <c r="F43" s="3">
        <v>65910.5</v>
      </c>
      <c r="G43" s="3">
        <v>67479.5</v>
      </c>
      <c r="H43" s="3">
        <v>69356.800000000003</v>
      </c>
      <c r="I43" s="3">
        <v>70930.5</v>
      </c>
      <c r="J43" s="3">
        <v>72893.399999999994</v>
      </c>
      <c r="K43" s="3">
        <v>73330.600000000006</v>
      </c>
      <c r="L43" s="3">
        <v>75274.399999999994</v>
      </c>
      <c r="M43" s="3">
        <v>78766.8</v>
      </c>
      <c r="N43" s="3">
        <v>81965.8</v>
      </c>
      <c r="O43" s="3">
        <v>85225.5</v>
      </c>
      <c r="P43" s="3"/>
      <c r="Q43" s="3">
        <f>SUM(O43-C43)</f>
        <v>27634.199999999997</v>
      </c>
      <c r="R43" s="3">
        <f>SUM(Q42-Q43)</f>
        <v>12261.699999999997</v>
      </c>
    </row>
    <row r="44" spans="1:18" x14ac:dyDescent="0.2">
      <c r="A44" t="s">
        <v>49</v>
      </c>
      <c r="C44" s="3">
        <v>31500.799999999999</v>
      </c>
      <c r="D44" s="3">
        <v>31718.3</v>
      </c>
      <c r="E44" s="3">
        <v>31887.8</v>
      </c>
      <c r="F44" s="3">
        <v>32084.400000000001</v>
      </c>
      <c r="G44" s="3">
        <v>32212.7</v>
      </c>
      <c r="H44" s="3">
        <v>32345.5</v>
      </c>
      <c r="I44" s="3">
        <v>32467</v>
      </c>
      <c r="J44" s="3">
        <v>32552.3</v>
      </c>
      <c r="K44" s="3">
        <v>32555.5</v>
      </c>
      <c r="L44" s="3">
        <v>32682.400000000001</v>
      </c>
      <c r="M44" s="3">
        <v>32874.400000000001</v>
      </c>
      <c r="N44" s="3">
        <v>33096.6</v>
      </c>
      <c r="O44" s="3">
        <v>33283.5</v>
      </c>
      <c r="P44" s="3"/>
      <c r="Q44" s="3">
        <f>SUM(O44-C44)</f>
        <v>1782.7000000000007</v>
      </c>
    </row>
    <row r="45" spans="1:18" x14ac:dyDescent="0.2">
      <c r="A45" t="s">
        <v>50</v>
      </c>
      <c r="C45" s="3">
        <v>39290.699999999997</v>
      </c>
      <c r="D45" s="3">
        <v>39550</v>
      </c>
      <c r="E45" s="3">
        <v>39716.699999999997</v>
      </c>
      <c r="F45" s="3">
        <v>39925.599999999999</v>
      </c>
      <c r="G45" s="3">
        <v>40106.199999999997</v>
      </c>
      <c r="H45" s="3">
        <v>40294.5</v>
      </c>
      <c r="I45" s="3">
        <v>40405.1</v>
      </c>
      <c r="J45" s="3">
        <v>40571.9</v>
      </c>
      <c r="K45" s="3">
        <v>40656.199999999997</v>
      </c>
      <c r="L45" s="3">
        <v>40810.1</v>
      </c>
      <c r="M45" s="3">
        <v>41066.199999999997</v>
      </c>
      <c r="N45" s="3">
        <v>41265</v>
      </c>
      <c r="O45" s="3">
        <v>41562</v>
      </c>
      <c r="P45" s="3"/>
      <c r="Q45" s="3">
        <f>SUM(O45-C45)</f>
        <v>2271.3000000000029</v>
      </c>
    </row>
    <row r="46" spans="1:18" x14ac:dyDescent="0.2">
      <c r="A46" t="s">
        <v>52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 t="s">
        <v>89</v>
      </c>
      <c r="Q46" s="3"/>
    </row>
    <row r="47" spans="1:18" x14ac:dyDescent="0.2">
      <c r="A47" t="s">
        <v>55</v>
      </c>
      <c r="C47" s="3">
        <v>1164.22</v>
      </c>
      <c r="D47" s="3">
        <v>1217.92</v>
      </c>
      <c r="E47" s="3">
        <v>1262.55</v>
      </c>
      <c r="F47" s="3">
        <v>1315.89</v>
      </c>
      <c r="G47" s="3">
        <v>1352.93</v>
      </c>
      <c r="H47" s="3">
        <v>1396.87</v>
      </c>
      <c r="I47" s="3">
        <v>1443.73</v>
      </c>
      <c r="J47" s="3">
        <v>1530.6</v>
      </c>
      <c r="K47" s="3">
        <v>1542.5</v>
      </c>
      <c r="L47" s="3">
        <v>1585.66</v>
      </c>
      <c r="M47" s="3">
        <v>1641.62</v>
      </c>
      <c r="N47" s="3">
        <v>1691.81</v>
      </c>
      <c r="O47" s="3">
        <v>1739.65</v>
      </c>
      <c r="P47" s="3"/>
      <c r="Q47" s="3">
        <f>SUM(O47-C47)</f>
        <v>575.43000000000006</v>
      </c>
    </row>
    <row r="48" spans="1:18" x14ac:dyDescent="0.2">
      <c r="A48" t="s">
        <v>56</v>
      </c>
      <c r="C48" s="3">
        <v>616.78</v>
      </c>
      <c r="D48" s="3">
        <v>651.57000000000005</v>
      </c>
      <c r="E48" s="3">
        <v>679.82</v>
      </c>
      <c r="F48" s="3">
        <v>710.49</v>
      </c>
      <c r="G48" s="3">
        <v>727.58</v>
      </c>
      <c r="H48" s="3">
        <v>748.51</v>
      </c>
      <c r="I48" s="3">
        <v>768.79</v>
      </c>
      <c r="J48" s="3">
        <v>795.08</v>
      </c>
      <c r="K48" s="3">
        <v>799.8</v>
      </c>
      <c r="L48" s="3">
        <v>819.78</v>
      </c>
      <c r="M48" s="3">
        <v>848.19</v>
      </c>
      <c r="N48" s="3">
        <v>878.74</v>
      </c>
      <c r="O48" s="3">
        <v>907.09</v>
      </c>
      <c r="P48" s="3"/>
      <c r="Q48" s="3">
        <f>SUM(O48-C48)</f>
        <v>290.31000000000006</v>
      </c>
    </row>
    <row r="49" spans="1:18" x14ac:dyDescent="0.2">
      <c r="A49" t="s">
        <v>57</v>
      </c>
      <c r="C49" s="3">
        <v>25941.7</v>
      </c>
      <c r="D49" s="3">
        <v>26942.5</v>
      </c>
      <c r="E49" s="3">
        <v>27711.8</v>
      </c>
      <c r="F49" s="3">
        <v>28445.1</v>
      </c>
      <c r="G49" s="3">
        <v>28901.4</v>
      </c>
      <c r="H49" s="3">
        <v>29485.1</v>
      </c>
      <c r="I49" s="3">
        <v>29964.400000000001</v>
      </c>
      <c r="J49" s="3">
        <v>30653</v>
      </c>
      <c r="K49" s="3">
        <v>30835.200000000001</v>
      </c>
      <c r="L49" s="3">
        <v>31532.7</v>
      </c>
      <c r="M49" s="3">
        <v>32488.400000000001</v>
      </c>
      <c r="N49" s="3">
        <v>33658.800000000003</v>
      </c>
      <c r="O49" s="3">
        <v>34700.400000000001</v>
      </c>
      <c r="P49" s="3"/>
      <c r="Q49" s="3">
        <f>SUM(O49-C49)</f>
        <v>8758.7000000000007</v>
      </c>
    </row>
    <row r="50" spans="1:18" x14ac:dyDescent="0.2">
      <c r="A50" t="s">
        <v>58</v>
      </c>
      <c r="C50" s="3">
        <v>25.4</v>
      </c>
      <c r="D50" s="3">
        <v>25.4</v>
      </c>
      <c r="E50" s="3">
        <v>25.4</v>
      </c>
      <c r="F50" s="3">
        <v>25.4</v>
      </c>
      <c r="G50" s="3">
        <v>25.4</v>
      </c>
      <c r="H50" s="3">
        <v>25.4</v>
      </c>
      <c r="I50" s="3">
        <v>25.4</v>
      </c>
      <c r="J50" s="3">
        <v>25.4</v>
      </c>
      <c r="K50" s="3">
        <v>25.4</v>
      </c>
      <c r="L50" s="3">
        <v>25.4</v>
      </c>
      <c r="M50" s="3">
        <v>25.4</v>
      </c>
      <c r="N50" s="3">
        <v>25.4</v>
      </c>
      <c r="O50" s="3">
        <v>25.4</v>
      </c>
      <c r="P50" s="3"/>
      <c r="Q50" s="3">
        <f>SUM(O50-C50)</f>
        <v>0</v>
      </c>
    </row>
    <row r="51" spans="1:18" x14ac:dyDescent="0.2">
      <c r="A51" t="s">
        <v>59</v>
      </c>
      <c r="C51" s="3">
        <v>1875.2</v>
      </c>
      <c r="D51" s="3">
        <v>1878.9</v>
      </c>
      <c r="E51" s="3">
        <v>1880.1</v>
      </c>
      <c r="F51" s="3">
        <v>1880.9</v>
      </c>
      <c r="G51" s="3">
        <v>1884</v>
      </c>
      <c r="H51" s="3">
        <v>1884.4</v>
      </c>
      <c r="I51" s="3">
        <v>1885.2</v>
      </c>
      <c r="J51" s="3">
        <v>1885.6</v>
      </c>
      <c r="K51" s="3">
        <v>1886.6</v>
      </c>
      <c r="L51" s="3">
        <v>1890</v>
      </c>
      <c r="M51" s="3">
        <v>1891.1</v>
      </c>
      <c r="N51" s="3">
        <v>1893.3</v>
      </c>
      <c r="O51" s="3">
        <v>1894</v>
      </c>
      <c r="P51" s="3"/>
      <c r="Q51" s="3">
        <f>SUM(O51-C51)</f>
        <v>18.799999999999955</v>
      </c>
    </row>
    <row r="52" spans="1:18" x14ac:dyDescent="0.2">
      <c r="A52" t="s">
        <v>53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 t="s">
        <v>89</v>
      </c>
      <c r="Q52" s="3"/>
    </row>
    <row r="53" spans="1:18" x14ac:dyDescent="0.2">
      <c r="A53" t="s">
        <v>54</v>
      </c>
      <c r="C53" s="3">
        <v>21655.9</v>
      </c>
      <c r="D53" s="3">
        <v>22902.6</v>
      </c>
      <c r="E53" s="3">
        <v>23953.4</v>
      </c>
      <c r="F53" s="3">
        <v>25138.5</v>
      </c>
      <c r="G53" s="3">
        <v>26099.4</v>
      </c>
      <c r="H53" s="3">
        <v>27435.7</v>
      </c>
      <c r="I53" s="3">
        <v>28447.1</v>
      </c>
      <c r="J53" s="3">
        <v>29568.2</v>
      </c>
      <c r="K53" s="3">
        <v>29888.7</v>
      </c>
      <c r="L53" s="3">
        <v>30707</v>
      </c>
      <c r="M53" s="3">
        <v>32101.7</v>
      </c>
      <c r="N53" s="3">
        <v>33118.400000000001</v>
      </c>
      <c r="O53" s="3">
        <v>34436.800000000003</v>
      </c>
      <c r="P53" s="3"/>
      <c r="Q53" s="3">
        <f>SUM(O53-C53)</f>
        <v>12780.900000000001</v>
      </c>
    </row>
    <row r="57" spans="1:18" ht="15.75" x14ac:dyDescent="0.25">
      <c r="A57" s="1">
        <v>2008</v>
      </c>
    </row>
    <row r="58" spans="1:18" ht="15.75" x14ac:dyDescent="0.25">
      <c r="A58" s="1" t="s">
        <v>47</v>
      </c>
      <c r="B58" t="s">
        <v>70</v>
      </c>
      <c r="C58" s="2" t="s">
        <v>6</v>
      </c>
      <c r="D58" s="2" t="s">
        <v>7</v>
      </c>
      <c r="E58" s="2" t="s">
        <v>8</v>
      </c>
      <c r="F58" s="2" t="s">
        <v>9</v>
      </c>
      <c r="G58" s="2" t="s">
        <v>10</v>
      </c>
      <c r="H58" s="2" t="s">
        <v>11</v>
      </c>
      <c r="I58" s="2" t="s">
        <v>12</v>
      </c>
      <c r="J58" s="2" t="s">
        <v>13</v>
      </c>
      <c r="K58" s="2" t="s">
        <v>14</v>
      </c>
      <c r="L58" s="2" t="s">
        <v>15</v>
      </c>
      <c r="M58" s="2" t="s">
        <v>16</v>
      </c>
      <c r="N58" s="2" t="s">
        <v>17</v>
      </c>
    </row>
    <row r="59" spans="1:18" x14ac:dyDescent="0.2">
      <c r="C59" s="12">
        <v>39454</v>
      </c>
      <c r="D59" t="s">
        <v>20</v>
      </c>
      <c r="E59" t="s">
        <v>101</v>
      </c>
      <c r="F59" t="s">
        <v>40</v>
      </c>
      <c r="G59" t="s">
        <v>102</v>
      </c>
      <c r="H59" t="s">
        <v>103</v>
      </c>
      <c r="I59" t="s">
        <v>42</v>
      </c>
      <c r="J59" t="s">
        <v>104</v>
      </c>
      <c r="K59" t="s">
        <v>105</v>
      </c>
      <c r="L59" s="18" t="s">
        <v>106</v>
      </c>
      <c r="M59" t="s">
        <v>107</v>
      </c>
      <c r="N59" t="s">
        <v>108</v>
      </c>
      <c r="O59" s="12">
        <v>39805</v>
      </c>
    </row>
    <row r="60" spans="1:18" x14ac:dyDescent="0.2">
      <c r="A60" t="s">
        <v>48</v>
      </c>
      <c r="C60" s="3">
        <v>178701.4</v>
      </c>
      <c r="D60" s="3">
        <v>182589.2</v>
      </c>
      <c r="E60" s="3">
        <v>186403.20000000001</v>
      </c>
      <c r="F60" s="3">
        <v>189383.7</v>
      </c>
      <c r="G60" s="3">
        <v>193527.4</v>
      </c>
      <c r="H60" s="3">
        <v>195999.3</v>
      </c>
      <c r="I60" s="3">
        <v>198811.6</v>
      </c>
      <c r="J60" s="3">
        <v>201487.3</v>
      </c>
      <c r="K60" s="3">
        <v>202605.9</v>
      </c>
      <c r="L60" s="3">
        <v>205395.8</v>
      </c>
      <c r="M60" s="3">
        <v>208403</v>
      </c>
      <c r="N60" s="3">
        <v>212274</v>
      </c>
      <c r="O60" s="3">
        <v>214861.3</v>
      </c>
      <c r="P60" s="3"/>
      <c r="Q60" s="3">
        <f t="shared" ref="Q60:Q71" si="2">SUM(O60-C60)</f>
        <v>36159.899999999994</v>
      </c>
    </row>
    <row r="61" spans="1:18" x14ac:dyDescent="0.2">
      <c r="A61" t="s">
        <v>60</v>
      </c>
      <c r="C61" s="3">
        <v>85225.5</v>
      </c>
      <c r="D61" s="3">
        <v>87889.4</v>
      </c>
      <c r="E61" s="3">
        <v>90613.7</v>
      </c>
      <c r="F61" s="3">
        <v>92716.7</v>
      </c>
      <c r="G61" s="3">
        <v>95558.8</v>
      </c>
      <c r="H61" s="3">
        <v>97130.7</v>
      </c>
      <c r="I61" s="3">
        <v>98753.5</v>
      </c>
      <c r="J61" s="3">
        <v>100325.1</v>
      </c>
      <c r="K61" s="3">
        <v>100997.5</v>
      </c>
      <c r="L61" s="3">
        <v>102597.9</v>
      </c>
      <c r="M61" s="3">
        <v>104504.8</v>
      </c>
      <c r="N61" s="3">
        <v>107004.8</v>
      </c>
      <c r="O61" s="3">
        <v>108629.2</v>
      </c>
      <c r="P61" s="3"/>
      <c r="Q61" s="3">
        <f t="shared" si="2"/>
        <v>23403.699999999997</v>
      </c>
      <c r="R61" s="3">
        <f>SUM(Q60-Q61)</f>
        <v>12756.199999999997</v>
      </c>
    </row>
    <row r="62" spans="1:18" x14ac:dyDescent="0.2">
      <c r="A62" t="s">
        <v>49</v>
      </c>
      <c r="C62" s="3">
        <v>33283.5</v>
      </c>
      <c r="D62" s="3">
        <v>33496.800000000003</v>
      </c>
      <c r="E62" s="3">
        <v>33657.800000000003</v>
      </c>
      <c r="F62" s="3">
        <v>33752.1</v>
      </c>
      <c r="G62" s="3">
        <v>33872.6</v>
      </c>
      <c r="H62" s="3">
        <v>33945.5</v>
      </c>
      <c r="I62" s="3">
        <v>34026.300000000003</v>
      </c>
      <c r="J62" s="3">
        <v>34085.699999999997</v>
      </c>
      <c r="K62" s="3">
        <v>34111.199999999997</v>
      </c>
      <c r="L62" s="3">
        <v>34239.4</v>
      </c>
      <c r="M62" s="3">
        <v>34354.6</v>
      </c>
      <c r="N62" s="3">
        <v>34517.4</v>
      </c>
      <c r="O62" s="3">
        <v>34624.300000000003</v>
      </c>
      <c r="P62" s="3"/>
      <c r="Q62" s="3">
        <f t="shared" si="2"/>
        <v>1340.8000000000029</v>
      </c>
    </row>
    <row r="63" spans="1:18" x14ac:dyDescent="0.2">
      <c r="A63" t="s">
        <v>50</v>
      </c>
      <c r="C63" s="3">
        <v>41562</v>
      </c>
      <c r="D63" s="3">
        <v>41771.9</v>
      </c>
      <c r="E63" s="3">
        <v>42032.6</v>
      </c>
      <c r="F63" s="3">
        <v>42248.5</v>
      </c>
      <c r="G63" s="3">
        <v>42495.199999999997</v>
      </c>
      <c r="H63" s="3">
        <v>42763.6</v>
      </c>
      <c r="I63" s="3">
        <v>42937.4</v>
      </c>
      <c r="J63" s="3">
        <v>43141.1</v>
      </c>
      <c r="K63" s="3">
        <v>43313.5</v>
      </c>
      <c r="L63" s="3">
        <v>43499.9</v>
      </c>
      <c r="M63" s="3">
        <v>43714.3</v>
      </c>
      <c r="N63" s="3">
        <v>43914.400000000001</v>
      </c>
      <c r="O63" s="3">
        <v>44065.4</v>
      </c>
      <c r="P63" s="3"/>
      <c r="Q63" s="3">
        <f t="shared" si="2"/>
        <v>2503.4000000000015</v>
      </c>
    </row>
    <row r="64" spans="1:18" x14ac:dyDescent="0.2">
      <c r="A64" t="s">
        <v>52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 t="s">
        <v>89</v>
      </c>
    </row>
    <row r="65" spans="1:18" x14ac:dyDescent="0.2">
      <c r="A65" t="s">
        <v>55</v>
      </c>
      <c r="C65" s="3">
        <v>1739.65</v>
      </c>
      <c r="D65" s="3">
        <v>1787.29</v>
      </c>
      <c r="E65" s="3">
        <v>1833.64</v>
      </c>
      <c r="F65" s="3">
        <v>1871.82</v>
      </c>
      <c r="G65" s="3">
        <v>1939.2</v>
      </c>
      <c r="H65" s="3">
        <v>1986.2</v>
      </c>
      <c r="I65" s="3">
        <v>2059.87</v>
      </c>
      <c r="J65" s="3">
        <v>2123.4299999999998</v>
      </c>
      <c r="K65" s="3">
        <v>2172.42</v>
      </c>
      <c r="L65" s="3">
        <v>2231.06</v>
      </c>
      <c r="M65" s="3">
        <v>2291.23</v>
      </c>
      <c r="N65" s="3">
        <v>2359.19</v>
      </c>
      <c r="O65" s="3">
        <v>2404.33</v>
      </c>
      <c r="P65" s="3"/>
      <c r="Q65" s="3">
        <f t="shared" si="2"/>
        <v>664.67999999999984</v>
      </c>
    </row>
    <row r="66" spans="1:18" x14ac:dyDescent="0.2">
      <c r="A66" t="s">
        <v>56</v>
      </c>
      <c r="C66" s="3">
        <v>907.09</v>
      </c>
      <c r="D66" s="3">
        <v>935.17</v>
      </c>
      <c r="E66" s="3">
        <v>962.34</v>
      </c>
      <c r="F66" s="3">
        <v>982.44</v>
      </c>
      <c r="G66" s="3">
        <v>1010.79</v>
      </c>
      <c r="H66" s="3">
        <v>1028.67</v>
      </c>
      <c r="I66" s="3">
        <v>1052.18</v>
      </c>
      <c r="J66" s="3">
        <v>1074.94</v>
      </c>
      <c r="K66" s="3">
        <v>1090.01</v>
      </c>
      <c r="L66" s="3">
        <v>1112.77</v>
      </c>
      <c r="M66" s="3">
        <v>1139.02</v>
      </c>
      <c r="N66" s="3">
        <v>1172.3800000000001</v>
      </c>
      <c r="O66" s="3">
        <v>1196.07</v>
      </c>
      <c r="P66" s="3"/>
      <c r="Q66" s="3">
        <f t="shared" si="2"/>
        <v>288.9799999999999</v>
      </c>
    </row>
    <row r="67" spans="1:18" x14ac:dyDescent="0.2">
      <c r="A67" t="s">
        <v>57</v>
      </c>
      <c r="C67" s="3">
        <v>34700.400000000001</v>
      </c>
      <c r="D67" s="3">
        <v>35871.5</v>
      </c>
      <c r="E67" s="3">
        <v>36831.800000000003</v>
      </c>
      <c r="F67" s="3">
        <v>37578.300000000003</v>
      </c>
      <c r="G67" s="3">
        <v>38633.9</v>
      </c>
      <c r="H67" s="3">
        <v>39175.4</v>
      </c>
      <c r="I67" s="3">
        <v>39839</v>
      </c>
      <c r="J67" s="3">
        <v>40325.199999999997</v>
      </c>
      <c r="K67" s="3">
        <v>40642.699999999997</v>
      </c>
      <c r="L67" s="3">
        <v>41474.1</v>
      </c>
      <c r="M67" s="3">
        <v>42524.2</v>
      </c>
      <c r="N67" s="3">
        <v>43768.4</v>
      </c>
      <c r="O67" s="3">
        <v>44635.4</v>
      </c>
      <c r="P67" s="3"/>
      <c r="Q67" s="3">
        <f t="shared" si="2"/>
        <v>9935</v>
      </c>
    </row>
    <row r="68" spans="1:18" x14ac:dyDescent="0.2">
      <c r="A68" t="s">
        <v>58</v>
      </c>
      <c r="C68" s="3">
        <v>25.4</v>
      </c>
      <c r="D68" s="3">
        <v>25.4</v>
      </c>
      <c r="E68" s="3">
        <v>25.4</v>
      </c>
      <c r="F68" s="3">
        <v>25.4</v>
      </c>
      <c r="G68" s="3">
        <v>25.4</v>
      </c>
      <c r="H68" s="3">
        <v>25.4</v>
      </c>
      <c r="I68" s="3">
        <v>25.4</v>
      </c>
      <c r="J68" s="3">
        <v>25.4</v>
      </c>
      <c r="K68" s="3">
        <v>25.4</v>
      </c>
      <c r="L68" s="3">
        <v>25.4</v>
      </c>
      <c r="M68" s="3">
        <v>25.4</v>
      </c>
      <c r="N68" s="3">
        <v>25.4</v>
      </c>
      <c r="O68" s="3">
        <v>25.4</v>
      </c>
      <c r="P68" s="3"/>
      <c r="Q68" s="3">
        <f t="shared" si="2"/>
        <v>0</v>
      </c>
    </row>
    <row r="69" spans="1:18" x14ac:dyDescent="0.2">
      <c r="A69" t="s">
        <v>59</v>
      </c>
      <c r="C69" s="3">
        <v>1894</v>
      </c>
      <c r="D69" s="3">
        <v>1949.6</v>
      </c>
      <c r="E69" s="3">
        <v>1961.5</v>
      </c>
      <c r="F69" s="3">
        <v>1969.7</v>
      </c>
      <c r="G69" s="3">
        <v>1970.9</v>
      </c>
      <c r="H69" s="3">
        <v>1973.1</v>
      </c>
      <c r="I69" s="3">
        <v>1974.4</v>
      </c>
      <c r="J69" s="3">
        <v>1976</v>
      </c>
      <c r="K69" s="3">
        <v>1976.3</v>
      </c>
      <c r="L69" s="3">
        <v>1976.9</v>
      </c>
      <c r="M69" s="3">
        <v>1979.8</v>
      </c>
      <c r="N69" s="3">
        <v>1981</v>
      </c>
      <c r="O69" s="3">
        <v>1981.5</v>
      </c>
      <c r="P69" s="3"/>
      <c r="Q69" s="3">
        <f t="shared" si="2"/>
        <v>87.5</v>
      </c>
    </row>
    <row r="70" spans="1:18" x14ac:dyDescent="0.2">
      <c r="A70" t="s">
        <v>53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 t="s">
        <v>89</v>
      </c>
    </row>
    <row r="71" spans="1:18" x14ac:dyDescent="0.2">
      <c r="A71" t="s">
        <v>54</v>
      </c>
      <c r="C71" s="3">
        <v>34436.800000000003</v>
      </c>
      <c r="D71" s="3">
        <v>35479.1</v>
      </c>
      <c r="E71" s="3">
        <v>36741.699999999997</v>
      </c>
      <c r="F71" s="3">
        <v>37858</v>
      </c>
      <c r="G71" s="3">
        <v>38946.800000000003</v>
      </c>
      <c r="H71" s="3">
        <v>40170.199999999997</v>
      </c>
      <c r="I71" s="3">
        <v>41366.699999999997</v>
      </c>
      <c r="J71" s="3">
        <v>42936.800000000003</v>
      </c>
      <c r="K71" s="3">
        <v>43812.800000000003</v>
      </c>
      <c r="L71" s="3">
        <v>45220.4</v>
      </c>
      <c r="M71" s="3">
        <v>46817.5</v>
      </c>
      <c r="N71" s="3">
        <v>48325.4</v>
      </c>
      <c r="O71" s="3">
        <v>49429.4</v>
      </c>
      <c r="P71" s="3"/>
      <c r="Q71" s="3">
        <f t="shared" si="2"/>
        <v>14992.599999999999</v>
      </c>
    </row>
    <row r="76" spans="1:18" ht="15.75" x14ac:dyDescent="0.25">
      <c r="A76" s="1">
        <v>2009</v>
      </c>
    </row>
    <row r="77" spans="1:18" ht="15.75" x14ac:dyDescent="0.25">
      <c r="A77" s="1" t="s">
        <v>47</v>
      </c>
      <c r="B77" t="s">
        <v>70</v>
      </c>
      <c r="C77" s="2" t="s">
        <v>6</v>
      </c>
      <c r="D77" s="2" t="s">
        <v>7</v>
      </c>
      <c r="E77" s="2" t="s">
        <v>8</v>
      </c>
      <c r="F77" s="2" t="s">
        <v>9</v>
      </c>
      <c r="G77" s="2" t="s">
        <v>10</v>
      </c>
      <c r="H77" s="2" t="s">
        <v>11</v>
      </c>
      <c r="I77" s="2" t="s">
        <v>12</v>
      </c>
      <c r="J77" s="2" t="s">
        <v>13</v>
      </c>
      <c r="K77" s="2" t="s">
        <v>14</v>
      </c>
      <c r="L77" s="2" t="s">
        <v>15</v>
      </c>
      <c r="M77" s="2" t="s">
        <v>16</v>
      </c>
      <c r="N77" s="2" t="s">
        <v>17</v>
      </c>
    </row>
    <row r="78" spans="1:18" x14ac:dyDescent="0.2">
      <c r="C78" s="24">
        <v>39805</v>
      </c>
      <c r="D78" s="24">
        <v>39846</v>
      </c>
      <c r="E78" s="24">
        <v>39874</v>
      </c>
      <c r="F78" s="24">
        <v>39904</v>
      </c>
      <c r="G78" s="24">
        <v>39933</v>
      </c>
      <c r="H78" s="24">
        <v>39966</v>
      </c>
      <c r="I78" s="24">
        <v>39996</v>
      </c>
      <c r="J78" s="24">
        <v>40024</v>
      </c>
      <c r="K78" s="24">
        <v>40057</v>
      </c>
      <c r="L78" s="32" t="s">
        <v>109</v>
      </c>
      <c r="M78" s="24">
        <v>40119</v>
      </c>
      <c r="N78" s="24">
        <v>40148</v>
      </c>
      <c r="O78" s="24">
        <v>40170</v>
      </c>
    </row>
    <row r="79" spans="1:18" x14ac:dyDescent="0.2">
      <c r="A79" t="s">
        <v>48</v>
      </c>
      <c r="C79" s="3">
        <v>214861.3</v>
      </c>
      <c r="D79" s="3">
        <v>219267.3</v>
      </c>
      <c r="E79" s="3">
        <v>222387.5</v>
      </c>
      <c r="F79" s="3">
        <v>226578.2</v>
      </c>
      <c r="G79" s="3">
        <v>228664.6</v>
      </c>
      <c r="H79" s="3">
        <v>231363.9</v>
      </c>
      <c r="I79" s="3">
        <v>233588.5</v>
      </c>
      <c r="J79" s="3">
        <v>235906.4</v>
      </c>
      <c r="K79" s="3">
        <v>237253.2</v>
      </c>
      <c r="L79" s="3">
        <v>240184</v>
      </c>
      <c r="M79" s="3">
        <v>243097.8</v>
      </c>
      <c r="N79" s="3">
        <v>247343.2</v>
      </c>
      <c r="O79" s="3">
        <v>250343.9</v>
      </c>
      <c r="P79" s="3"/>
      <c r="Q79" s="3">
        <f>SUM(O79-C79)</f>
        <v>35482.600000000006</v>
      </c>
    </row>
    <row r="80" spans="1:18" x14ac:dyDescent="0.2">
      <c r="A80" t="s">
        <v>60</v>
      </c>
      <c r="C80" s="3">
        <v>108629.2</v>
      </c>
      <c r="D80" s="3">
        <v>111735.8</v>
      </c>
      <c r="E80" s="3">
        <v>113754.5</v>
      </c>
      <c r="F80" s="3">
        <v>116520</v>
      </c>
      <c r="G80" s="3">
        <v>117716.4</v>
      </c>
      <c r="H80" s="3">
        <v>119458.9</v>
      </c>
      <c r="I80" s="3">
        <v>120660.9</v>
      </c>
      <c r="J80" s="3">
        <v>122021.2</v>
      </c>
      <c r="K80" s="3">
        <v>122730.3</v>
      </c>
      <c r="L80" s="3">
        <v>124631.5</v>
      </c>
      <c r="M80" s="3">
        <v>126509.1</v>
      </c>
      <c r="N80" s="3">
        <v>129488</v>
      </c>
      <c r="O80" s="3">
        <v>131477.6</v>
      </c>
      <c r="P80" s="3"/>
      <c r="Q80" s="3">
        <f>SUM(O80-C80)</f>
        <v>22848.400000000009</v>
      </c>
      <c r="R80" s="3">
        <f>SUM(Q79-Q80)</f>
        <v>12634.199999999997</v>
      </c>
    </row>
    <row r="81" spans="1:19" x14ac:dyDescent="0.2">
      <c r="A81" t="s">
        <v>49</v>
      </c>
      <c r="C81" s="3">
        <v>34624.300000000003</v>
      </c>
      <c r="D81" s="3">
        <v>34766.199999999997</v>
      </c>
      <c r="E81" s="3">
        <v>34903.300000000003</v>
      </c>
      <c r="F81" s="3">
        <v>35097.800000000003</v>
      </c>
      <c r="G81" s="3">
        <v>35182</v>
      </c>
      <c r="H81" s="3">
        <v>35298.6</v>
      </c>
      <c r="I81" s="3">
        <v>35433.699999999997</v>
      </c>
      <c r="J81" s="3">
        <v>35500.800000000003</v>
      </c>
      <c r="K81" s="3">
        <v>35503.800000000003</v>
      </c>
      <c r="L81" s="3">
        <v>35645.4</v>
      </c>
      <c r="M81" s="3">
        <v>35807.1</v>
      </c>
      <c r="N81" s="3">
        <v>36088.9</v>
      </c>
      <c r="O81" s="3">
        <v>36290.699999999997</v>
      </c>
      <c r="P81" s="3"/>
      <c r="Q81" s="3">
        <f>SUM(O81-C81)</f>
        <v>1666.3999999999942</v>
      </c>
    </row>
    <row r="82" spans="1:19" x14ac:dyDescent="0.2">
      <c r="A82" t="s">
        <v>50</v>
      </c>
      <c r="C82" s="3">
        <v>44065.4</v>
      </c>
      <c r="D82" s="3">
        <v>44348.6</v>
      </c>
      <c r="E82" s="3">
        <v>44541.5</v>
      </c>
      <c r="F82" s="3">
        <v>44745.2</v>
      </c>
      <c r="G82" s="3">
        <v>44879.4</v>
      </c>
      <c r="H82" s="3">
        <v>45021.9</v>
      </c>
      <c r="I82" s="3">
        <v>45148.4</v>
      </c>
      <c r="J82" s="3">
        <v>45270.2</v>
      </c>
      <c r="K82" s="3">
        <v>45405.7</v>
      </c>
      <c r="L82" s="3">
        <v>45542.5</v>
      </c>
      <c r="M82" s="3">
        <v>45680.4</v>
      </c>
      <c r="N82" s="3">
        <v>45818.400000000001</v>
      </c>
      <c r="O82" s="3">
        <v>45926</v>
      </c>
      <c r="P82" s="3"/>
      <c r="Q82" s="3">
        <f>SUM(O82-C82)</f>
        <v>1860.5999999999985</v>
      </c>
    </row>
    <row r="83" spans="1:19" x14ac:dyDescent="0.2">
      <c r="A83" t="s">
        <v>52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 t="s">
        <v>89</v>
      </c>
    </row>
    <row r="84" spans="1:19" x14ac:dyDescent="0.2">
      <c r="A84" t="s">
        <v>55</v>
      </c>
      <c r="C84" s="3">
        <v>2404.33</v>
      </c>
      <c r="D84" s="3">
        <v>2457.9</v>
      </c>
      <c r="E84" s="3">
        <v>2509.6999999999998</v>
      </c>
      <c r="F84" s="3">
        <v>2582</v>
      </c>
      <c r="G84" s="3">
        <v>2634.74</v>
      </c>
      <c r="H84" s="3">
        <v>2690.37</v>
      </c>
      <c r="I84" s="3">
        <v>2757.02</v>
      </c>
      <c r="J84" s="3">
        <v>2819.24</v>
      </c>
      <c r="K84" s="3">
        <v>2889.59</v>
      </c>
      <c r="L84" s="3">
        <v>2949.37</v>
      </c>
      <c r="M84" s="3">
        <v>3008.73</v>
      </c>
      <c r="N84" s="3">
        <v>3080.88</v>
      </c>
      <c r="O84" s="3">
        <v>3138.77</v>
      </c>
      <c r="P84" s="3"/>
      <c r="Q84" s="3">
        <f>SUM(O84-C84)</f>
        <v>734.44</v>
      </c>
    </row>
    <row r="85" spans="1:19" x14ac:dyDescent="0.2">
      <c r="A85" t="s">
        <v>56</v>
      </c>
      <c r="C85" s="3">
        <v>1196.07</v>
      </c>
      <c r="D85" s="3">
        <v>1227.45</v>
      </c>
      <c r="E85" s="3">
        <v>1252.2</v>
      </c>
      <c r="F85" s="3">
        <v>1284.48</v>
      </c>
      <c r="G85" s="3">
        <v>1305.0999999999999</v>
      </c>
      <c r="H85" s="3">
        <v>1325.85</v>
      </c>
      <c r="I85" s="3">
        <v>1349.21</v>
      </c>
      <c r="J85" s="3">
        <v>1372.17</v>
      </c>
      <c r="K85" s="3">
        <v>1348.96</v>
      </c>
      <c r="L85" s="3">
        <v>1408.54</v>
      </c>
      <c r="M85" s="3">
        <v>1434.77</v>
      </c>
      <c r="N85" s="3">
        <v>1468.11</v>
      </c>
      <c r="O85" s="3">
        <v>1495.27</v>
      </c>
      <c r="P85" s="3"/>
      <c r="Q85" s="3">
        <f>SUM(O85-C85)</f>
        <v>299.20000000000005</v>
      </c>
    </row>
    <row r="86" spans="1:19" x14ac:dyDescent="0.2">
      <c r="A86" t="s">
        <v>57</v>
      </c>
      <c r="C86" s="3">
        <v>44635.4</v>
      </c>
      <c r="D86" s="3">
        <v>45821.5</v>
      </c>
      <c r="E86" s="3">
        <v>46191.6</v>
      </c>
      <c r="F86" s="3">
        <v>47955.3</v>
      </c>
      <c r="G86" s="3">
        <v>48645.599999999999</v>
      </c>
      <c r="H86" s="3">
        <v>49363.5</v>
      </c>
      <c r="I86" s="3">
        <v>50052.7</v>
      </c>
      <c r="J86" s="3">
        <v>50731</v>
      </c>
      <c r="K86" s="3">
        <v>51133.8</v>
      </c>
      <c r="L86" s="3">
        <v>51947.5</v>
      </c>
      <c r="M86" s="3">
        <v>52959.1</v>
      </c>
      <c r="N86" s="3">
        <v>54260.1</v>
      </c>
      <c r="O86" s="3">
        <v>55291</v>
      </c>
      <c r="P86" s="3"/>
      <c r="Q86" s="3">
        <f>SUM(O86-C86)</f>
        <v>10655.599999999999</v>
      </c>
      <c r="S86" s="23" t="s">
        <v>135</v>
      </c>
    </row>
    <row r="87" spans="1:19" x14ac:dyDescent="0.2">
      <c r="A87" t="s">
        <v>58</v>
      </c>
      <c r="C87" s="3">
        <v>25.4</v>
      </c>
      <c r="D87" s="3">
        <v>25.4</v>
      </c>
      <c r="E87" s="3">
        <v>25.4</v>
      </c>
      <c r="F87" s="3">
        <v>25.4</v>
      </c>
      <c r="G87" s="3">
        <v>25.4</v>
      </c>
      <c r="H87" s="3">
        <v>25.4</v>
      </c>
      <c r="I87" s="3">
        <v>25.4</v>
      </c>
      <c r="J87" s="3">
        <v>24.5</v>
      </c>
      <c r="K87" s="3">
        <v>26.6</v>
      </c>
      <c r="L87" s="3">
        <v>30.1</v>
      </c>
      <c r="M87" s="3">
        <v>134</v>
      </c>
      <c r="N87" s="3">
        <v>544.20000000000005</v>
      </c>
      <c r="O87" s="3">
        <v>1361.8</v>
      </c>
      <c r="P87" s="3"/>
      <c r="Q87" s="3">
        <f>SUM(O87-C87)</f>
        <v>1336.3999999999999</v>
      </c>
      <c r="S87" s="3">
        <f>SUM(Q87:Q88)</f>
        <v>3184.0999999999995</v>
      </c>
    </row>
    <row r="88" spans="1:19" x14ac:dyDescent="0.2">
      <c r="A88" t="s">
        <v>59</v>
      </c>
      <c r="C88" s="3">
        <v>1981.5</v>
      </c>
      <c r="D88" s="3">
        <v>1982.2</v>
      </c>
      <c r="E88" s="3">
        <v>1983.1</v>
      </c>
      <c r="F88" s="3">
        <v>1984</v>
      </c>
      <c r="G88" s="3">
        <v>1984.4</v>
      </c>
      <c r="H88" s="3">
        <v>2002.9</v>
      </c>
      <c r="I88" s="3">
        <v>2003.4</v>
      </c>
      <c r="J88" s="3">
        <v>2010.5</v>
      </c>
      <c r="K88" s="3">
        <v>2013.8</v>
      </c>
      <c r="L88" s="3">
        <v>2163.5</v>
      </c>
      <c r="M88" s="3">
        <v>2445.1</v>
      </c>
      <c r="N88" s="3">
        <v>3320.9</v>
      </c>
      <c r="O88" s="3">
        <v>3829.2</v>
      </c>
      <c r="P88" s="3"/>
      <c r="Q88" s="3">
        <f>SUM(O88-C88)</f>
        <v>1847.6999999999998</v>
      </c>
    </row>
    <row r="89" spans="1:19" x14ac:dyDescent="0.2">
      <c r="A89" t="s">
        <v>53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 t="s">
        <v>89</v>
      </c>
    </row>
    <row r="90" spans="1:19" x14ac:dyDescent="0.2">
      <c r="A90" t="s">
        <v>54</v>
      </c>
      <c r="C90" s="3">
        <v>49429.4</v>
      </c>
      <c r="D90" s="3">
        <v>51256.9</v>
      </c>
      <c r="E90" s="3">
        <v>52715.9</v>
      </c>
      <c r="F90" s="3">
        <v>54342.7</v>
      </c>
      <c r="G90" s="3">
        <v>55921.8</v>
      </c>
      <c r="H90" s="3">
        <v>57247.199999999997</v>
      </c>
      <c r="I90" s="3">
        <v>58694.3</v>
      </c>
      <c r="J90" s="3">
        <v>60026</v>
      </c>
      <c r="K90" s="3">
        <v>61686.8</v>
      </c>
      <c r="L90" s="3">
        <v>63172.6</v>
      </c>
      <c r="M90" s="3">
        <v>64602.6</v>
      </c>
      <c r="N90" s="3">
        <v>65930</v>
      </c>
      <c r="O90" s="3">
        <v>66932.2</v>
      </c>
      <c r="P90" s="3"/>
      <c r="Q90" s="3">
        <f>SUM(O90-C90)</f>
        <v>17502.799999999996</v>
      </c>
    </row>
    <row r="95" spans="1:19" ht="15.75" x14ac:dyDescent="0.25">
      <c r="A95" s="1">
        <v>2010</v>
      </c>
    </row>
    <row r="96" spans="1:19" ht="15.75" x14ac:dyDescent="0.25">
      <c r="A96" s="1" t="s">
        <v>47</v>
      </c>
      <c r="B96" t="s">
        <v>70</v>
      </c>
      <c r="C96" s="2" t="s">
        <v>6</v>
      </c>
      <c r="D96" s="2" t="s">
        <v>7</v>
      </c>
      <c r="E96" s="2" t="s">
        <v>8</v>
      </c>
      <c r="F96" s="2" t="s">
        <v>9</v>
      </c>
      <c r="G96" s="2" t="s">
        <v>10</v>
      </c>
      <c r="H96" s="2" t="s">
        <v>11</v>
      </c>
      <c r="I96" s="2" t="s">
        <v>12</v>
      </c>
      <c r="J96" s="2" t="s">
        <v>13</v>
      </c>
      <c r="K96" s="2" t="s">
        <v>14</v>
      </c>
      <c r="L96" s="2" t="s">
        <v>15</v>
      </c>
      <c r="M96" s="2" t="s">
        <v>16</v>
      </c>
      <c r="N96" s="2" t="s">
        <v>17</v>
      </c>
    </row>
    <row r="97" spans="1:19" x14ac:dyDescent="0.2">
      <c r="C97" s="24">
        <v>40170</v>
      </c>
      <c r="D97" s="24">
        <v>40210</v>
      </c>
      <c r="E97" s="24">
        <v>40238</v>
      </c>
      <c r="F97" s="24">
        <v>40269</v>
      </c>
      <c r="G97" s="24">
        <v>40301</v>
      </c>
      <c r="H97" s="24">
        <v>40319</v>
      </c>
      <c r="I97" s="24">
        <v>40360</v>
      </c>
      <c r="J97" s="24">
        <v>40392</v>
      </c>
      <c r="K97" s="24">
        <v>40422</v>
      </c>
      <c r="L97" s="32" t="s">
        <v>136</v>
      </c>
      <c r="M97" s="24">
        <v>40484</v>
      </c>
      <c r="N97" s="24">
        <v>40513</v>
      </c>
      <c r="O97" s="24">
        <v>40543</v>
      </c>
    </row>
    <row r="98" spans="1:19" x14ac:dyDescent="0.2">
      <c r="A98" t="s">
        <v>48</v>
      </c>
      <c r="C98" s="3">
        <v>250343.9</v>
      </c>
      <c r="D98" s="3">
        <v>255161.9</v>
      </c>
      <c r="E98" s="3">
        <v>258553.7</v>
      </c>
      <c r="F98" s="3">
        <v>262730.09999999998</v>
      </c>
      <c r="G98" s="3">
        <v>265746.40000000002</v>
      </c>
      <c r="H98" s="3">
        <v>267992.3</v>
      </c>
      <c r="I98" s="3">
        <v>271325.7</v>
      </c>
      <c r="J98" s="3">
        <v>274363.2</v>
      </c>
      <c r="K98" s="3">
        <v>276182.40000000002</v>
      </c>
      <c r="L98" s="3">
        <v>279135.59999999998</v>
      </c>
      <c r="M98" s="3">
        <v>282702.59999999998</v>
      </c>
      <c r="N98" s="3">
        <v>286719.3</v>
      </c>
      <c r="O98" s="3">
        <v>290244</v>
      </c>
      <c r="P98" s="3"/>
      <c r="Q98" s="3">
        <f>SUM(O98-C98)</f>
        <v>39900.100000000006</v>
      </c>
    </row>
    <row r="99" spans="1:19" x14ac:dyDescent="0.2">
      <c r="A99" t="s">
        <v>60</v>
      </c>
      <c r="C99" s="3">
        <v>131477.6</v>
      </c>
      <c r="D99" s="3">
        <v>135022.9</v>
      </c>
      <c r="E99" s="3">
        <v>137295.5</v>
      </c>
      <c r="F99" s="3">
        <v>140308.4</v>
      </c>
      <c r="G99" s="3">
        <v>142312.29999999999</v>
      </c>
      <c r="H99" s="3">
        <v>143859.5</v>
      </c>
      <c r="I99" s="3">
        <v>145942.29999999999</v>
      </c>
      <c r="J99" s="3">
        <v>147978.20000000001</v>
      </c>
      <c r="K99" s="3">
        <v>149132.5</v>
      </c>
      <c r="L99" s="3">
        <v>151158.29999999999</v>
      </c>
      <c r="M99" s="3">
        <v>153529.60000000001</v>
      </c>
      <c r="N99" s="3">
        <v>156391.79999999999</v>
      </c>
      <c r="O99" s="3">
        <v>158803.9</v>
      </c>
      <c r="P99" s="3"/>
      <c r="Q99" s="3">
        <f>SUM(O99-C99)</f>
        <v>27326.299999999988</v>
      </c>
      <c r="R99" s="3">
        <f>SUM(Q98-Q99)</f>
        <v>12573.800000000017</v>
      </c>
    </row>
    <row r="100" spans="1:19" x14ac:dyDescent="0.2">
      <c r="A100" t="s">
        <v>49</v>
      </c>
      <c r="C100" s="3">
        <v>36290.699999999997</v>
      </c>
      <c r="D100" s="3">
        <v>36520.6</v>
      </c>
      <c r="E100" s="3">
        <v>36712</v>
      </c>
      <c r="F100" s="3">
        <v>36936.199999999997</v>
      </c>
      <c r="G100" s="3">
        <v>37106.400000000001</v>
      </c>
      <c r="H100" s="3">
        <v>37213.300000000003</v>
      </c>
      <c r="I100" s="3">
        <v>37355.699999999997</v>
      </c>
      <c r="J100" s="3">
        <v>37359.800000000003</v>
      </c>
      <c r="K100" s="3">
        <v>37396.199999999997</v>
      </c>
      <c r="L100" s="3">
        <v>37515.5</v>
      </c>
      <c r="M100" s="3">
        <v>37567.9</v>
      </c>
      <c r="N100" s="3">
        <v>37627.1</v>
      </c>
      <c r="O100" s="3">
        <v>37681.9</v>
      </c>
      <c r="P100" s="3"/>
      <c r="Q100" s="3">
        <f>SUM(O100-C100)</f>
        <v>1391.2000000000044</v>
      </c>
    </row>
    <row r="101" spans="1:19" x14ac:dyDescent="0.2">
      <c r="A101" t="s">
        <v>50</v>
      </c>
      <c r="C101" s="3">
        <v>45926</v>
      </c>
      <c r="D101" s="3">
        <v>46109.599999999999</v>
      </c>
      <c r="E101" s="3">
        <v>46238.1</v>
      </c>
      <c r="F101" s="3">
        <v>46393</v>
      </c>
      <c r="G101" s="3">
        <v>46534.400000000001</v>
      </c>
      <c r="H101" s="3">
        <v>46611.8</v>
      </c>
      <c r="I101" s="3">
        <v>46794.8</v>
      </c>
      <c r="J101" s="3">
        <v>46917.2</v>
      </c>
      <c r="K101" s="3">
        <v>47050.6</v>
      </c>
      <c r="L101" s="3">
        <v>47216.4</v>
      </c>
      <c r="M101" s="3">
        <v>47399.199999999997</v>
      </c>
      <c r="N101" s="3">
        <v>47572.4</v>
      </c>
      <c r="O101" s="3">
        <v>47753.5</v>
      </c>
      <c r="P101" s="3"/>
      <c r="Q101" s="3">
        <f>SUM(O101-C101)</f>
        <v>1827.5</v>
      </c>
    </row>
    <row r="102" spans="1:19" x14ac:dyDescent="0.2">
      <c r="A102" t="s">
        <v>52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 t="s">
        <v>89</v>
      </c>
    </row>
    <row r="103" spans="1:19" x14ac:dyDescent="0.2">
      <c r="A103" t="s">
        <v>55</v>
      </c>
      <c r="C103" s="3">
        <v>3138.77</v>
      </c>
      <c r="D103" s="3">
        <v>3204.01</v>
      </c>
      <c r="E103" s="3">
        <v>3265.1</v>
      </c>
      <c r="F103" s="3">
        <v>3333.79</v>
      </c>
      <c r="G103" s="3">
        <v>3395.9</v>
      </c>
      <c r="H103" s="3">
        <v>3438.04</v>
      </c>
      <c r="I103" s="3">
        <v>3514.36</v>
      </c>
      <c r="J103" s="3">
        <v>3587.93</v>
      </c>
      <c r="K103" s="3">
        <v>3656.06</v>
      </c>
      <c r="L103" s="3">
        <v>3714.92</v>
      </c>
      <c r="M103" s="3">
        <v>3794.51</v>
      </c>
      <c r="N103" s="3">
        <v>3864.51</v>
      </c>
      <c r="O103" s="3">
        <v>3926.92</v>
      </c>
      <c r="P103" s="3"/>
      <c r="Q103" s="3">
        <f>SUM(O103-C103)</f>
        <v>788.15000000000009</v>
      </c>
    </row>
    <row r="104" spans="1:19" x14ac:dyDescent="0.2">
      <c r="A104" t="s">
        <v>56</v>
      </c>
      <c r="C104" s="3">
        <v>1495.27</v>
      </c>
      <c r="D104" s="3">
        <v>1528.67</v>
      </c>
      <c r="E104" s="3">
        <v>1556.8</v>
      </c>
      <c r="F104" s="3">
        <v>1585.2</v>
      </c>
      <c r="G104" s="3">
        <v>1607.05</v>
      </c>
      <c r="H104" s="3">
        <v>1622.23</v>
      </c>
      <c r="I104" s="3">
        <v>1648.77</v>
      </c>
      <c r="J104" s="3">
        <v>1671.6</v>
      </c>
      <c r="K104" s="3">
        <v>1686.56</v>
      </c>
      <c r="L104" s="3">
        <v>1709.42</v>
      </c>
      <c r="M104" s="3">
        <v>1740.27</v>
      </c>
      <c r="N104" s="3">
        <v>1771.99</v>
      </c>
      <c r="O104" s="3">
        <v>1800.3</v>
      </c>
      <c r="P104" s="3"/>
      <c r="Q104" s="3">
        <f>SUM(O104-C104)</f>
        <v>305.02999999999997</v>
      </c>
    </row>
    <row r="105" spans="1:19" x14ac:dyDescent="0.2">
      <c r="A105" t="s">
        <v>57</v>
      </c>
      <c r="C105" s="3">
        <v>55291</v>
      </c>
      <c r="D105" s="3">
        <v>56506.1</v>
      </c>
      <c r="E105" s="3">
        <v>57464.5</v>
      </c>
      <c r="F105" s="3">
        <v>58376.4</v>
      </c>
      <c r="G105" s="3">
        <v>59278.6</v>
      </c>
      <c r="H105" s="3">
        <v>59898</v>
      </c>
      <c r="I105" s="3">
        <v>60800.9</v>
      </c>
      <c r="J105" s="3">
        <v>61393.5</v>
      </c>
      <c r="K105" s="3">
        <v>61779.4</v>
      </c>
      <c r="L105" s="3">
        <v>62604.1</v>
      </c>
      <c r="M105" s="3">
        <v>63815.8</v>
      </c>
      <c r="N105" s="3">
        <v>64988.9</v>
      </c>
      <c r="O105" s="3">
        <v>65990.7</v>
      </c>
      <c r="P105" s="3"/>
      <c r="Q105" s="3">
        <f>SUM(O105-C105)</f>
        <v>10699.699999999997</v>
      </c>
      <c r="S105" s="23" t="s">
        <v>135</v>
      </c>
    </row>
    <row r="106" spans="1:19" x14ac:dyDescent="0.2">
      <c r="A106" t="s">
        <v>58</v>
      </c>
      <c r="C106" s="3">
        <v>1361.8</v>
      </c>
      <c r="D106" s="3">
        <v>1911.1</v>
      </c>
      <c r="E106" s="3">
        <v>2407.1</v>
      </c>
      <c r="F106" s="3">
        <v>2658.2</v>
      </c>
      <c r="G106" s="3">
        <v>2671.7</v>
      </c>
      <c r="H106" s="3">
        <v>2692.2</v>
      </c>
      <c r="I106" s="3">
        <v>2694.4</v>
      </c>
      <c r="J106" s="3">
        <v>2697.5</v>
      </c>
      <c r="K106" s="3">
        <v>2717.9</v>
      </c>
      <c r="L106" s="3">
        <v>2733.2</v>
      </c>
      <c r="M106" s="3">
        <v>2908.3</v>
      </c>
      <c r="N106" s="3">
        <v>3106</v>
      </c>
      <c r="O106" s="3">
        <v>3337.8</v>
      </c>
      <c r="P106" s="3"/>
      <c r="Q106" s="3">
        <f>SUM(O106-C106)</f>
        <v>1976.0000000000002</v>
      </c>
      <c r="S106" s="3">
        <f>SUM(Q106:Q107)</f>
        <v>3965.6000000000004</v>
      </c>
    </row>
    <row r="107" spans="1:19" x14ac:dyDescent="0.2">
      <c r="A107" t="s">
        <v>59</v>
      </c>
      <c r="C107" s="3">
        <v>3829.2</v>
      </c>
      <c r="D107" s="3">
        <v>4545.3</v>
      </c>
      <c r="E107" s="3">
        <v>4689.6000000000004</v>
      </c>
      <c r="F107" s="3">
        <v>4912.3999999999996</v>
      </c>
      <c r="G107" s="3">
        <v>5074.5</v>
      </c>
      <c r="H107" s="3">
        <v>5134.7</v>
      </c>
      <c r="I107" s="3">
        <v>5147.3</v>
      </c>
      <c r="J107" s="3">
        <v>5153.6000000000004</v>
      </c>
      <c r="K107" s="3">
        <v>5164.6000000000004</v>
      </c>
      <c r="L107" s="3">
        <v>5178.6000000000004</v>
      </c>
      <c r="M107" s="3">
        <v>5518.2</v>
      </c>
      <c r="N107" s="3">
        <v>5692.2</v>
      </c>
      <c r="O107" s="3">
        <v>5818.8</v>
      </c>
      <c r="P107" s="3"/>
      <c r="Q107" s="3">
        <f>SUM(O107-C107)</f>
        <v>1989.6000000000004</v>
      </c>
    </row>
    <row r="108" spans="1:19" x14ac:dyDescent="0.2">
      <c r="A108" t="s">
        <v>53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 t="s">
        <v>89</v>
      </c>
    </row>
    <row r="109" spans="1:19" x14ac:dyDescent="0.2">
      <c r="A109" t="s">
        <v>54</v>
      </c>
      <c r="C109" s="3">
        <v>66932.2</v>
      </c>
      <c r="D109" s="3">
        <v>68780.100000000006</v>
      </c>
      <c r="E109" s="3">
        <v>69986.8</v>
      </c>
      <c r="F109" s="3">
        <v>71304.899999999994</v>
      </c>
      <c r="G109" s="3">
        <v>72741.600000000006</v>
      </c>
      <c r="H109" s="3">
        <v>73517.5</v>
      </c>
      <c r="I109" s="3">
        <v>75013</v>
      </c>
      <c r="J109" s="3">
        <v>76077.8</v>
      </c>
      <c r="K109" s="3">
        <v>76408.2</v>
      </c>
      <c r="L109" s="3">
        <v>77634.2</v>
      </c>
      <c r="M109" s="3">
        <v>78942.5</v>
      </c>
      <c r="N109" s="3">
        <v>80109.899999999994</v>
      </c>
      <c r="O109" s="3">
        <v>81293.2</v>
      </c>
      <c r="P109" s="3"/>
      <c r="Q109" s="3">
        <f>SUM(O109-C109)</f>
        <v>14361</v>
      </c>
    </row>
    <row r="114" spans="1:19" ht="15.75" x14ac:dyDescent="0.25">
      <c r="A114" s="1">
        <v>2011</v>
      </c>
    </row>
    <row r="115" spans="1:19" ht="15.75" x14ac:dyDescent="0.25">
      <c r="A115" s="1" t="s">
        <v>47</v>
      </c>
      <c r="B115" t="s">
        <v>70</v>
      </c>
      <c r="C115" s="2" t="s">
        <v>6</v>
      </c>
      <c r="D115" s="2" t="s">
        <v>7</v>
      </c>
      <c r="E115" s="2" t="s">
        <v>8</v>
      </c>
      <c r="F115" s="2" t="s">
        <v>9</v>
      </c>
      <c r="G115" s="2" t="s">
        <v>10</v>
      </c>
      <c r="H115" s="2" t="s">
        <v>11</v>
      </c>
      <c r="I115" s="2" t="s">
        <v>12</v>
      </c>
      <c r="J115" s="2" t="s">
        <v>13</v>
      </c>
      <c r="K115" s="2" t="s">
        <v>14</v>
      </c>
      <c r="L115" s="2" t="s">
        <v>15</v>
      </c>
      <c r="M115" s="2" t="s">
        <v>16</v>
      </c>
      <c r="N115" s="2" t="s">
        <v>17</v>
      </c>
    </row>
    <row r="116" spans="1:19" x14ac:dyDescent="0.2">
      <c r="C116" s="24">
        <v>40543</v>
      </c>
      <c r="D116" s="24">
        <v>40575</v>
      </c>
      <c r="E116" s="24">
        <v>40603</v>
      </c>
      <c r="F116" s="24">
        <v>40634</v>
      </c>
      <c r="G116" s="24">
        <v>40665</v>
      </c>
      <c r="H116" s="24">
        <v>40695</v>
      </c>
      <c r="I116" s="24">
        <v>40725</v>
      </c>
      <c r="J116" s="24">
        <v>40756</v>
      </c>
      <c r="K116" s="24">
        <v>40787</v>
      </c>
      <c r="L116" s="33" t="s">
        <v>138</v>
      </c>
      <c r="M116" s="24">
        <v>40849</v>
      </c>
      <c r="N116" s="24">
        <v>40878</v>
      </c>
      <c r="O116" s="24">
        <v>40908</v>
      </c>
    </row>
    <row r="117" spans="1:19" x14ac:dyDescent="0.2">
      <c r="A117" t="s">
        <v>48</v>
      </c>
      <c r="C117" s="3">
        <v>290244</v>
      </c>
      <c r="D117" s="3">
        <v>294479.59999999998</v>
      </c>
      <c r="E117" s="3">
        <v>298175.59999999998</v>
      </c>
      <c r="F117" s="3">
        <v>302304.90000000002</v>
      </c>
      <c r="G117" s="3">
        <v>304899.3</v>
      </c>
      <c r="H117" s="3">
        <v>307880.5</v>
      </c>
      <c r="I117" s="3">
        <v>309773.2</v>
      </c>
      <c r="J117" s="3">
        <v>312128.2</v>
      </c>
      <c r="K117" s="3">
        <v>313486.59999999998</v>
      </c>
      <c r="L117" s="3">
        <v>316312.8</v>
      </c>
      <c r="M117" s="3">
        <v>319794</v>
      </c>
      <c r="N117" s="3">
        <v>323949.90000000002</v>
      </c>
      <c r="O117" s="3">
        <v>327383.8</v>
      </c>
      <c r="P117" s="3"/>
      <c r="Q117" s="3">
        <f>SUM(O117-C117)</f>
        <v>37139.799999999988</v>
      </c>
    </row>
    <row r="118" spans="1:19" x14ac:dyDescent="0.2">
      <c r="A118" t="s">
        <v>60</v>
      </c>
      <c r="C118" s="3">
        <v>158803.9</v>
      </c>
      <c r="D118" s="3">
        <v>161846.20000000001</v>
      </c>
      <c r="E118" s="3">
        <v>164240.4</v>
      </c>
      <c r="F118" s="3">
        <v>167042.1</v>
      </c>
      <c r="G118" s="3">
        <v>16878</v>
      </c>
      <c r="H118" s="3">
        <v>170662.39999999999</v>
      </c>
      <c r="I118" s="3">
        <v>171775.1</v>
      </c>
      <c r="J118" s="3">
        <v>173204.9</v>
      </c>
      <c r="K118" s="3">
        <v>173987.6</v>
      </c>
      <c r="L118" s="3">
        <v>175755.7</v>
      </c>
      <c r="M118" s="3">
        <v>178044.3</v>
      </c>
      <c r="N118" s="3">
        <v>180964.7</v>
      </c>
      <c r="O118" s="3">
        <v>183317.3</v>
      </c>
      <c r="P118" s="3"/>
      <c r="Q118" s="3">
        <f>SUM(O118-C118)</f>
        <v>24513.399999999994</v>
      </c>
      <c r="R118" s="3">
        <f>SUM(Q117-Q118)</f>
        <v>12626.399999999994</v>
      </c>
    </row>
    <row r="119" spans="1:19" x14ac:dyDescent="0.2">
      <c r="A119" t="s">
        <v>49</v>
      </c>
      <c r="C119" s="3">
        <v>37681.9</v>
      </c>
      <c r="D119" s="3">
        <v>37752.699999999997</v>
      </c>
      <c r="E119" s="3">
        <v>37804.6</v>
      </c>
      <c r="F119" s="3">
        <v>37840.5</v>
      </c>
      <c r="G119" s="3">
        <v>37864.300000000003</v>
      </c>
      <c r="H119" s="3">
        <v>37899.5</v>
      </c>
      <c r="I119" s="3">
        <v>37901.699999999997</v>
      </c>
      <c r="J119" s="3">
        <v>37904.9</v>
      </c>
      <c r="K119" s="3">
        <v>37905.300000000003</v>
      </c>
      <c r="L119" s="3">
        <v>37940.5</v>
      </c>
      <c r="M119" s="3">
        <v>38003.800000000003</v>
      </c>
      <c r="N119" s="3">
        <v>38084.800000000003</v>
      </c>
      <c r="O119" s="3">
        <v>38142.5</v>
      </c>
      <c r="P119" s="3"/>
      <c r="Q119" s="3">
        <f>SUM(O119-C119)</f>
        <v>460.59999999999854</v>
      </c>
    </row>
    <row r="120" spans="1:19" x14ac:dyDescent="0.2">
      <c r="A120" t="s">
        <v>50</v>
      </c>
      <c r="C120" s="3">
        <v>47753.5</v>
      </c>
      <c r="D120" s="3">
        <v>47939.1</v>
      </c>
      <c r="E120" s="3">
        <v>48103.9</v>
      </c>
      <c r="F120" s="3">
        <v>48245.9</v>
      </c>
      <c r="G120" s="3">
        <v>48364.6</v>
      </c>
      <c r="H120" s="3">
        <v>48475.199999999997</v>
      </c>
      <c r="I120" s="3">
        <v>48581.9</v>
      </c>
      <c r="J120" s="3">
        <v>48693.5</v>
      </c>
      <c r="K120" s="3">
        <v>48802.2</v>
      </c>
      <c r="L120" s="3">
        <v>48920.5</v>
      </c>
      <c r="M120" s="3">
        <v>49032</v>
      </c>
      <c r="N120" s="3">
        <v>49151.199999999997</v>
      </c>
      <c r="O120" s="3">
        <v>49269.2</v>
      </c>
      <c r="P120" s="3"/>
      <c r="Q120" s="3">
        <f>SUM(O120-C120)</f>
        <v>1515.6999999999971</v>
      </c>
    </row>
    <row r="121" spans="1:19" x14ac:dyDescent="0.2">
      <c r="A121" t="s">
        <v>52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 t="s">
        <v>89</v>
      </c>
    </row>
    <row r="122" spans="1:19" x14ac:dyDescent="0.2">
      <c r="A122" t="s">
        <v>55</v>
      </c>
      <c r="C122" s="3">
        <v>3926.92</v>
      </c>
      <c r="D122" s="3">
        <v>3991.98</v>
      </c>
      <c r="E122" s="3">
        <v>4069.46</v>
      </c>
      <c r="F122" s="3">
        <v>4139.68</v>
      </c>
      <c r="G122" s="3">
        <v>4187.1400000000003</v>
      </c>
      <c r="H122" s="3">
        <v>4265.82</v>
      </c>
      <c r="I122" s="3">
        <v>4314.41</v>
      </c>
      <c r="J122" s="3">
        <v>4379.32</v>
      </c>
      <c r="K122" s="3">
        <v>4439.8999999999996</v>
      </c>
      <c r="L122" s="3">
        <v>4504.54</v>
      </c>
      <c r="M122" s="3">
        <v>4578.93</v>
      </c>
      <c r="N122" s="3">
        <v>4649.63</v>
      </c>
      <c r="O122" s="3">
        <v>4714.8</v>
      </c>
      <c r="P122" s="3"/>
      <c r="Q122" s="3">
        <f>SUM(O122-C122)</f>
        <v>787.88000000000011</v>
      </c>
    </row>
    <row r="123" spans="1:19" x14ac:dyDescent="0.2">
      <c r="A123" t="s">
        <v>56</v>
      </c>
      <c r="C123" s="3">
        <v>1800.3</v>
      </c>
      <c r="D123" s="3">
        <v>1831.32</v>
      </c>
      <c r="E123" s="3">
        <v>1863.69</v>
      </c>
      <c r="F123" s="3">
        <v>1890.7</v>
      </c>
      <c r="G123" s="3">
        <v>1910.75</v>
      </c>
      <c r="H123" s="3">
        <v>1936.37</v>
      </c>
      <c r="I123" s="3">
        <v>1954</v>
      </c>
      <c r="J123" s="3">
        <v>1976.34</v>
      </c>
      <c r="K123" s="3">
        <v>1990.9</v>
      </c>
      <c r="L123" s="3">
        <v>2013.9</v>
      </c>
      <c r="M123" s="3">
        <v>2041.58</v>
      </c>
      <c r="N123" s="3">
        <v>2070.0100000000002</v>
      </c>
      <c r="O123" s="3">
        <v>2094.61</v>
      </c>
      <c r="P123" s="3"/>
      <c r="Q123" s="3">
        <f>SUM(O123-C123)</f>
        <v>294.31000000000017</v>
      </c>
    </row>
    <row r="124" spans="1:19" x14ac:dyDescent="0.2">
      <c r="A124" t="s">
        <v>57</v>
      </c>
      <c r="C124" s="3">
        <v>65990.7</v>
      </c>
      <c r="D124" s="3">
        <v>67103.899999999994</v>
      </c>
      <c r="E124" s="3">
        <v>68387.600000000006</v>
      </c>
      <c r="F124" s="3">
        <v>69422</v>
      </c>
      <c r="G124" s="3">
        <v>70068.800000000003</v>
      </c>
      <c r="H124" s="3">
        <v>70895.8</v>
      </c>
      <c r="I124" s="3">
        <v>71454.3</v>
      </c>
      <c r="J124" s="3">
        <v>72049.3</v>
      </c>
      <c r="K124" s="3">
        <v>72447.199999999997</v>
      </c>
      <c r="L124" s="3">
        <v>73119.5</v>
      </c>
      <c r="M124" s="3">
        <v>74131.899999999994</v>
      </c>
      <c r="N124" s="3">
        <v>75246.399999999994</v>
      </c>
      <c r="O124" s="3">
        <v>76204.800000000003</v>
      </c>
      <c r="P124" s="3"/>
      <c r="Q124" s="3">
        <f>SUM(O124-C124)</f>
        <v>10214.100000000006</v>
      </c>
      <c r="S124" s="23" t="s">
        <v>135</v>
      </c>
    </row>
    <row r="125" spans="1:19" x14ac:dyDescent="0.2">
      <c r="A125" t="s">
        <v>58</v>
      </c>
      <c r="C125" s="3">
        <v>3337.8</v>
      </c>
      <c r="D125" s="3">
        <v>3540.3</v>
      </c>
      <c r="E125" s="3">
        <v>3929.9</v>
      </c>
      <c r="F125" s="3">
        <v>4357.3</v>
      </c>
      <c r="G125" s="3">
        <v>4374.3</v>
      </c>
      <c r="H125" s="3">
        <v>4375.7</v>
      </c>
      <c r="I125" s="3">
        <v>4376.8999999999996</v>
      </c>
      <c r="J125" s="3">
        <v>4382.1000000000004</v>
      </c>
      <c r="K125" s="3">
        <v>4384.8999999999996</v>
      </c>
      <c r="L125" s="3">
        <v>4386.3</v>
      </c>
      <c r="M125" s="3">
        <v>4508.3999999999996</v>
      </c>
      <c r="N125" s="3">
        <v>4961.3999999999996</v>
      </c>
      <c r="O125" s="3">
        <v>5128.1000000000004</v>
      </c>
      <c r="P125" s="3"/>
      <c r="Q125" s="3">
        <f>SUM(O125-C125)</f>
        <v>1790.3000000000002</v>
      </c>
      <c r="S125" s="3">
        <f>SUM(Q125:Q126)</f>
        <v>3380.8</v>
      </c>
    </row>
    <row r="126" spans="1:19" x14ac:dyDescent="0.2">
      <c r="A126" t="s">
        <v>59</v>
      </c>
      <c r="C126" s="3">
        <v>5818.8</v>
      </c>
      <c r="D126" s="3">
        <v>6132.6</v>
      </c>
      <c r="E126" s="3">
        <v>6573.9</v>
      </c>
      <c r="F126" s="3">
        <v>6672.2</v>
      </c>
      <c r="G126" s="3">
        <v>6677.9</v>
      </c>
      <c r="H126" s="3">
        <v>6689.5</v>
      </c>
      <c r="I126" s="3">
        <v>6693.1</v>
      </c>
      <c r="J126" s="3">
        <v>6702.2</v>
      </c>
      <c r="K126" s="3">
        <v>6706.4</v>
      </c>
      <c r="L126" s="3">
        <v>6710</v>
      </c>
      <c r="M126" s="3">
        <v>6812.8</v>
      </c>
      <c r="N126" s="3">
        <v>7137.5</v>
      </c>
      <c r="O126" s="3">
        <v>7409.3</v>
      </c>
      <c r="P126" s="3"/>
      <c r="Q126" s="3">
        <f>SUM(O126-C126)</f>
        <v>1590.5</v>
      </c>
    </row>
    <row r="127" spans="1:19" x14ac:dyDescent="0.2">
      <c r="A127" t="s">
        <v>53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 t="s">
        <v>89</v>
      </c>
    </row>
    <row r="128" spans="1:19" x14ac:dyDescent="0.2">
      <c r="A128" t="s">
        <v>54</v>
      </c>
      <c r="C128" s="3">
        <v>81293.2</v>
      </c>
      <c r="D128" s="3">
        <v>82507.100000000006</v>
      </c>
      <c r="E128" s="3">
        <v>83657.899999999994</v>
      </c>
      <c r="F128" s="3">
        <v>84869.8</v>
      </c>
      <c r="G128" s="3">
        <v>85937.8</v>
      </c>
      <c r="H128" s="3">
        <v>86997.8</v>
      </c>
      <c r="I128" s="3">
        <v>87753.8</v>
      </c>
      <c r="J128" s="3">
        <v>88709.3</v>
      </c>
      <c r="K128" s="3">
        <v>89234.4</v>
      </c>
      <c r="L128" s="3">
        <v>90100.9</v>
      </c>
      <c r="M128" s="3">
        <v>91351.1</v>
      </c>
      <c r="N128" s="3">
        <v>92638.6</v>
      </c>
      <c r="O128" s="3">
        <v>93767.2</v>
      </c>
      <c r="P128" s="3"/>
      <c r="Q128" s="3">
        <f>SUM(O128-C128)</f>
        <v>12474</v>
      </c>
    </row>
    <row r="133" spans="1:19" ht="15.75" x14ac:dyDescent="0.25">
      <c r="A133" s="1">
        <v>2012</v>
      </c>
    </row>
    <row r="134" spans="1:19" ht="15.75" x14ac:dyDescent="0.25">
      <c r="A134" s="1" t="s">
        <v>47</v>
      </c>
      <c r="B134" t="s">
        <v>70</v>
      </c>
      <c r="C134" s="2" t="s">
        <v>6</v>
      </c>
      <c r="D134" s="2" t="s">
        <v>7</v>
      </c>
      <c r="E134" s="2" t="s">
        <v>8</v>
      </c>
      <c r="F134" s="2" t="s">
        <v>9</v>
      </c>
      <c r="G134" s="2" t="s">
        <v>10</v>
      </c>
      <c r="H134" s="2" t="s">
        <v>11</v>
      </c>
      <c r="I134" s="2" t="s">
        <v>12</v>
      </c>
      <c r="J134" s="2" t="s">
        <v>13</v>
      </c>
      <c r="K134" s="2" t="s">
        <v>14</v>
      </c>
      <c r="L134" s="2" t="s">
        <v>15</v>
      </c>
      <c r="M134" s="2" t="s">
        <v>16</v>
      </c>
      <c r="N134" s="2" t="s">
        <v>17</v>
      </c>
    </row>
    <row r="135" spans="1:19" x14ac:dyDescent="0.2">
      <c r="C135" s="24">
        <v>40908</v>
      </c>
      <c r="D135" s="24">
        <v>40940</v>
      </c>
      <c r="E135" s="24">
        <v>40969</v>
      </c>
      <c r="F135" s="24">
        <v>41000</v>
      </c>
      <c r="G135" s="24">
        <v>41031</v>
      </c>
      <c r="H135" s="24">
        <v>41061</v>
      </c>
      <c r="I135" s="24">
        <v>41092</v>
      </c>
      <c r="J135" s="24">
        <v>41117</v>
      </c>
      <c r="K135" s="24">
        <v>41153</v>
      </c>
      <c r="L135" s="33" t="s">
        <v>139</v>
      </c>
      <c r="M135" s="24">
        <v>41218</v>
      </c>
      <c r="N135" s="24">
        <v>41247</v>
      </c>
      <c r="O135" s="24">
        <v>41274</v>
      </c>
    </row>
    <row r="136" spans="1:19" x14ac:dyDescent="0.2">
      <c r="A136" t="s">
        <v>48</v>
      </c>
      <c r="C136" s="3">
        <v>327383.8</v>
      </c>
      <c r="D136" s="3">
        <v>331826.8</v>
      </c>
      <c r="E136" s="3">
        <v>335501.59999999998</v>
      </c>
      <c r="F136" s="3">
        <v>339532.3</v>
      </c>
      <c r="G136" s="3">
        <v>342183.9</v>
      </c>
      <c r="H136" s="3">
        <v>344905.3</v>
      </c>
      <c r="I136" s="3">
        <v>346980.3</v>
      </c>
      <c r="J136" s="3">
        <v>348875.2</v>
      </c>
      <c r="K136" s="3">
        <v>350516</v>
      </c>
      <c r="L136" s="3">
        <v>353171.3</v>
      </c>
      <c r="M136" s="3">
        <v>356948.9</v>
      </c>
      <c r="N136" s="3">
        <v>360682.2</v>
      </c>
      <c r="O136" s="3">
        <v>364580.7</v>
      </c>
      <c r="P136" s="3"/>
      <c r="Q136" s="3">
        <f>SUM(O136-C136)</f>
        <v>37196.900000000023</v>
      </c>
    </row>
    <row r="137" spans="1:19" x14ac:dyDescent="0.2">
      <c r="A137" t="s">
        <v>60</v>
      </c>
      <c r="C137" s="3">
        <v>183317.3</v>
      </c>
      <c r="D137" s="3">
        <v>186544.5</v>
      </c>
      <c r="E137" s="3">
        <v>189105.5</v>
      </c>
      <c r="F137" s="3">
        <v>191949.9</v>
      </c>
      <c r="G137" s="3">
        <v>193766.39999999999</v>
      </c>
      <c r="H137" s="3">
        <v>195468.4</v>
      </c>
      <c r="I137" s="3">
        <v>196623.5</v>
      </c>
      <c r="J137" s="3">
        <v>197738.3</v>
      </c>
      <c r="K137" s="3">
        <v>198856.4</v>
      </c>
      <c r="L137" s="3">
        <v>200671.8</v>
      </c>
      <c r="M137" s="3">
        <v>203318.7</v>
      </c>
      <c r="N137" s="3">
        <v>206038.1</v>
      </c>
      <c r="O137" s="3">
        <v>208914.2</v>
      </c>
      <c r="P137" s="3"/>
      <c r="Q137" s="3">
        <f>SUM(O137-C137)</f>
        <v>25596.900000000023</v>
      </c>
      <c r="R137" s="3">
        <f>SUM(Q136-Q137)</f>
        <v>11600</v>
      </c>
    </row>
    <row r="138" spans="1:19" x14ac:dyDescent="0.2">
      <c r="A138" t="s">
        <v>49</v>
      </c>
      <c r="C138" s="3">
        <v>38142.5</v>
      </c>
      <c r="D138" s="3">
        <v>38222.5</v>
      </c>
      <c r="E138" s="3">
        <v>38286.5</v>
      </c>
      <c r="F138" s="3">
        <v>38343.5</v>
      </c>
      <c r="G138" s="3">
        <v>38367</v>
      </c>
      <c r="H138" s="3">
        <v>38399.5</v>
      </c>
      <c r="I138" s="3">
        <v>38499.4</v>
      </c>
      <c r="J138" s="3">
        <v>38502.199999999997</v>
      </c>
      <c r="K138" s="3">
        <v>38502.199999999997</v>
      </c>
      <c r="L138" s="3">
        <v>38560.699999999997</v>
      </c>
      <c r="M138" s="3">
        <v>38622.300000000003</v>
      </c>
      <c r="N138" s="3">
        <v>38664.699999999997</v>
      </c>
      <c r="O138" s="3">
        <v>38690.699999999997</v>
      </c>
      <c r="P138" s="3"/>
      <c r="Q138" s="3">
        <f>SUM(O138-C138)</f>
        <v>548.19999999999709</v>
      </c>
    </row>
    <row r="139" spans="1:19" x14ac:dyDescent="0.2">
      <c r="A139" t="s">
        <v>50</v>
      </c>
      <c r="C139" s="3">
        <v>49269.2</v>
      </c>
      <c r="D139" s="3">
        <v>49428</v>
      </c>
      <c r="E139" s="3">
        <v>49551.5</v>
      </c>
      <c r="F139" s="3">
        <v>49695.6</v>
      </c>
      <c r="G139" s="3">
        <v>49816.3</v>
      </c>
      <c r="H139" s="3">
        <v>49931.6</v>
      </c>
      <c r="I139" s="3">
        <v>50046.8</v>
      </c>
      <c r="J139" s="3">
        <v>50165.599999999999</v>
      </c>
      <c r="K139" s="3">
        <v>50298.8</v>
      </c>
      <c r="L139" s="3">
        <v>50400</v>
      </c>
      <c r="M139" s="3">
        <v>50544.2</v>
      </c>
      <c r="N139" s="3">
        <v>50663.6</v>
      </c>
      <c r="O139" s="3">
        <v>50812.1</v>
      </c>
      <c r="P139" s="3"/>
      <c r="Q139" s="3">
        <f>SUM(O139-C139)</f>
        <v>1542.9000000000015</v>
      </c>
    </row>
    <row r="140" spans="1:19" x14ac:dyDescent="0.2">
      <c r="A140" t="s">
        <v>52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 t="s">
        <v>89</v>
      </c>
    </row>
    <row r="141" spans="1:19" x14ac:dyDescent="0.2">
      <c r="A141" t="s">
        <v>55</v>
      </c>
      <c r="C141" s="3">
        <v>4714.8</v>
      </c>
      <c r="D141" s="3">
        <v>4784.07</v>
      </c>
      <c r="E141" s="3">
        <v>4848.45</v>
      </c>
      <c r="F141" s="3">
        <v>4929.1899999999996</v>
      </c>
      <c r="G141" s="3">
        <v>4980.8</v>
      </c>
      <c r="H141" s="3">
        <v>5056.18</v>
      </c>
      <c r="I141" s="3">
        <v>5122.0600000000004</v>
      </c>
      <c r="J141" s="3">
        <v>5182.24</v>
      </c>
      <c r="K141" s="3">
        <v>5246.44</v>
      </c>
      <c r="L141" s="3">
        <v>5304.09</v>
      </c>
      <c r="M141" s="3">
        <v>5382.36</v>
      </c>
      <c r="N141" s="3">
        <v>5451.51</v>
      </c>
      <c r="O141" s="3">
        <v>5512.46</v>
      </c>
      <c r="P141" s="3"/>
      <c r="Q141" s="3">
        <f>SUM(O141-C141)</f>
        <v>797.65999999999985</v>
      </c>
    </row>
    <row r="142" spans="1:19" x14ac:dyDescent="0.2">
      <c r="A142" t="s">
        <v>56</v>
      </c>
      <c r="C142" s="3">
        <v>2094.61</v>
      </c>
      <c r="D142" s="3">
        <v>2122.3000000000002</v>
      </c>
      <c r="E142" s="3">
        <v>2147.61</v>
      </c>
      <c r="F142" s="3">
        <v>2176.9299999999998</v>
      </c>
      <c r="G142" s="3">
        <v>2195.04</v>
      </c>
      <c r="H142" s="3">
        <v>2220.14</v>
      </c>
      <c r="I142" s="3">
        <v>2242.86</v>
      </c>
      <c r="J142" s="3">
        <v>2263.39</v>
      </c>
      <c r="K142" s="3">
        <v>2279.52</v>
      </c>
      <c r="L142" s="3">
        <v>2302.3200000000002</v>
      </c>
      <c r="M142" s="3">
        <v>2336.5700000000002</v>
      </c>
      <c r="N142" s="3">
        <v>2371.23</v>
      </c>
      <c r="O142" s="3">
        <v>2401.09</v>
      </c>
      <c r="P142" s="3"/>
      <c r="Q142" s="3">
        <f>SUM(O142-C142)</f>
        <v>306.48</v>
      </c>
    </row>
    <row r="143" spans="1:19" x14ac:dyDescent="0.2">
      <c r="A143" t="s">
        <v>57</v>
      </c>
      <c r="C143" s="3">
        <v>76204.800000000003</v>
      </c>
      <c r="D143" s="3">
        <v>77316.7</v>
      </c>
      <c r="E143" s="3">
        <v>78249.600000000006</v>
      </c>
      <c r="F143" s="3">
        <v>79261.899999999994</v>
      </c>
      <c r="G143" s="3">
        <v>79889.7</v>
      </c>
      <c r="H143" s="3">
        <v>80598.2</v>
      </c>
      <c r="I143" s="3">
        <v>81351.899999999994</v>
      </c>
      <c r="J143" s="3">
        <v>81871.7</v>
      </c>
      <c r="K143" s="3">
        <v>82438.3</v>
      </c>
      <c r="L143" s="3">
        <v>83104.100000000006</v>
      </c>
      <c r="M143" s="3">
        <v>84119.2</v>
      </c>
      <c r="N143" s="3">
        <v>85276.7</v>
      </c>
      <c r="O143" s="3">
        <v>86290.7</v>
      </c>
      <c r="P143" s="3"/>
      <c r="Q143" s="3">
        <f>SUM(O143-C143)</f>
        <v>10085.899999999994</v>
      </c>
      <c r="S143" s="23" t="s">
        <v>135</v>
      </c>
    </row>
    <row r="144" spans="1:19" x14ac:dyDescent="0.2">
      <c r="A144" t="s">
        <v>58</v>
      </c>
      <c r="C144" s="3">
        <v>5128.1000000000004</v>
      </c>
      <c r="D144" s="3">
        <v>5380</v>
      </c>
      <c r="E144" s="3">
        <v>6382.9</v>
      </c>
      <c r="F144" s="3">
        <v>6618.2</v>
      </c>
      <c r="G144" s="3">
        <v>6678</v>
      </c>
      <c r="H144" s="3">
        <v>6678</v>
      </c>
      <c r="I144" s="3">
        <v>6678</v>
      </c>
      <c r="J144" s="3">
        <v>6678</v>
      </c>
      <c r="K144" s="3">
        <v>6678</v>
      </c>
      <c r="L144" s="3">
        <v>6678</v>
      </c>
      <c r="M144" s="3">
        <v>6678</v>
      </c>
      <c r="N144" s="3">
        <v>6678</v>
      </c>
      <c r="O144" s="3">
        <v>6678</v>
      </c>
      <c r="P144" s="3"/>
      <c r="Q144" s="3">
        <f>SUM(O144-C144)</f>
        <v>1549.8999999999996</v>
      </c>
      <c r="S144" s="3">
        <f>SUM(Q144:Q145)</f>
        <v>1859.6999999999998</v>
      </c>
    </row>
    <row r="145" spans="1:17" x14ac:dyDescent="0.2">
      <c r="A145" t="s">
        <v>59</v>
      </c>
      <c r="C145" s="3">
        <v>7409.3</v>
      </c>
      <c r="D145" s="3">
        <v>7444.8</v>
      </c>
      <c r="E145" s="3">
        <v>7541.6</v>
      </c>
      <c r="F145" s="3">
        <v>7641.3</v>
      </c>
      <c r="G145" s="3">
        <v>7699.8</v>
      </c>
      <c r="H145" s="3">
        <v>7714.5</v>
      </c>
      <c r="I145" s="3">
        <v>7715.2</v>
      </c>
      <c r="J145" s="3">
        <v>7715.5</v>
      </c>
      <c r="K145" s="3">
        <v>7715.9</v>
      </c>
      <c r="L145" s="3">
        <v>7716.5</v>
      </c>
      <c r="M145" s="3">
        <v>7717.6</v>
      </c>
      <c r="N145" s="3">
        <v>7718.3</v>
      </c>
      <c r="O145" s="3">
        <v>7719.1</v>
      </c>
      <c r="P145" s="3"/>
      <c r="Q145" s="3">
        <f>SUM(O145-C145)</f>
        <v>309.80000000000018</v>
      </c>
    </row>
    <row r="146" spans="1:17" ht="15.75" customHeight="1" x14ac:dyDescent="0.2">
      <c r="A146" t="s">
        <v>53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 t="s">
        <v>89</v>
      </c>
    </row>
    <row r="147" spans="1:17" x14ac:dyDescent="0.2">
      <c r="A147" t="s">
        <v>141</v>
      </c>
      <c r="C147" s="3">
        <v>93767.2</v>
      </c>
      <c r="D147" s="3">
        <v>94979</v>
      </c>
      <c r="E147" s="3">
        <v>96077.8</v>
      </c>
      <c r="F147" s="3">
        <v>97210.4</v>
      </c>
      <c r="G147" s="3">
        <v>98210.9</v>
      </c>
      <c r="H147" s="3">
        <v>99138.8</v>
      </c>
      <c r="I147" s="3">
        <v>100062.6</v>
      </c>
      <c r="J147" s="3">
        <v>100801.2</v>
      </c>
      <c r="K147" s="3">
        <v>101143.3</v>
      </c>
      <c r="L147" s="3">
        <v>101965.1</v>
      </c>
      <c r="M147" s="3">
        <v>103135.9</v>
      </c>
      <c r="N147" s="3">
        <v>104163.6</v>
      </c>
      <c r="O147" s="3">
        <v>105579.6</v>
      </c>
      <c r="P147" s="3"/>
      <c r="Q147" s="3">
        <f>SUM(O147-C147)</f>
        <v>11812.400000000009</v>
      </c>
    </row>
  </sheetData>
  <phoneticPr fontId="3" type="noConversion"/>
  <pageMargins left="0.78740157499999996" right="0.78740157499999996" top="0.984251969" bottom="0.984251969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D136-7025-4F8B-BDF4-5154C3C5184A}">
  <sheetPr>
    <tabColor indexed="45"/>
  </sheetPr>
  <dimension ref="A1:S163"/>
  <sheetViews>
    <sheetView topLeftCell="A125" workbookViewId="0">
      <selection activeCell="M171" sqref="M171"/>
    </sheetView>
  </sheetViews>
  <sheetFormatPr baseColWidth="10" defaultRowHeight="12.75" x14ac:dyDescent="0.2"/>
  <cols>
    <col min="1" max="1" width="18.7109375" customWidth="1"/>
    <col min="3" max="3" width="2.7109375" customWidth="1"/>
    <col min="14" max="14" width="12.42578125" customWidth="1"/>
    <col min="15" max="15" width="14.42578125" customWidth="1"/>
  </cols>
  <sheetData>
    <row r="1" spans="1:17" ht="15.75" x14ac:dyDescent="0.25">
      <c r="A1" s="1">
        <v>2005</v>
      </c>
      <c r="B1" t="s">
        <v>35</v>
      </c>
    </row>
    <row r="2" spans="1:17" ht="15.75" x14ac:dyDescent="0.25">
      <c r="A2" s="1" t="s">
        <v>47</v>
      </c>
      <c r="B2" s="1" t="s">
        <v>35</v>
      </c>
      <c r="C2" s="6" t="str">
        <f>'Ablesewerte Strom'!C21</f>
        <v>Jan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35</v>
      </c>
      <c r="Q2" s="6" t="s">
        <v>35</v>
      </c>
    </row>
    <row r="3" spans="1:17" ht="15.75" x14ac:dyDescent="0.25">
      <c r="A3" t="s">
        <v>35</v>
      </c>
      <c r="B3" s="1" t="s">
        <v>35</v>
      </c>
      <c r="C3" s="6" t="str">
        <f>'Ablesewerte Strom'!C22</f>
        <v>9.1.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 t="s">
        <v>35</v>
      </c>
    </row>
    <row r="4" spans="1:17" x14ac:dyDescent="0.2">
      <c r="A4" t="s">
        <v>48</v>
      </c>
      <c r="B4" t="str">
        <f>'Ablesewerte Strom'!B23</f>
        <v xml:space="preserve"> </v>
      </c>
      <c r="D4" s="5">
        <f>SUM('Ablesewerte Strom'!D4-'Ablesewerte Strom'!C4)</f>
        <v>8331.3000000000029</v>
      </c>
      <c r="E4" s="5">
        <v>0</v>
      </c>
      <c r="F4" s="5">
        <f>SUM('Ablesewerte Strom'!F4-'Ablesewerte Strom'!E4)</f>
        <v>0</v>
      </c>
      <c r="G4" s="5">
        <f>SUM('Ablesewerte Strom'!G4-'Ablesewerte Strom'!F4)</f>
        <v>84015.6</v>
      </c>
      <c r="H4" s="3">
        <f>SUM('Ablesewerte Strom'!H4-'Ablesewerte Strom'!G4)</f>
        <v>1879.3999999999942</v>
      </c>
      <c r="I4" s="3">
        <f>SUM('Ablesewerte Strom'!I4-'Ablesewerte Strom'!H4)</f>
        <v>2438.6999999999971</v>
      </c>
      <c r="J4" s="3">
        <f>SUM('Ablesewerte Strom'!J4-'Ablesewerte Strom'!I4)</f>
        <v>1968.9000000000087</v>
      </c>
      <c r="K4" s="3">
        <f>SUM('Ablesewerte Strom'!K4-'Ablesewerte Strom'!J4)</f>
        <v>1487.0999999999913</v>
      </c>
      <c r="L4" s="3">
        <f>SUM('Ablesewerte Strom'!L4-'Ablesewerte Strom'!K4)</f>
        <v>2273.4000000000087</v>
      </c>
      <c r="M4" s="3">
        <f>SUM('Ablesewerte Strom'!M4-'Ablesewerte Strom'!L4)</f>
        <v>3451.7999999999884</v>
      </c>
      <c r="N4" s="3">
        <f>SUM('Ablesewerte Strom'!N4-'Ablesewerte Strom'!M4)</f>
        <v>3316.8000000000029</v>
      </c>
      <c r="O4" s="3">
        <f>SUM('Ablesewerte Strom'!O4-'Ablesewerte Strom'!N4)</f>
        <v>3834.4000000000087</v>
      </c>
    </row>
    <row r="5" spans="1:17" x14ac:dyDescent="0.2">
      <c r="A5" t="s">
        <v>60</v>
      </c>
      <c r="D5" s="5">
        <f>SUM('Ablesewerte Strom'!D5-'Ablesewerte Strom'!C5)</f>
        <v>12286.6</v>
      </c>
      <c r="E5" s="5">
        <v>0</v>
      </c>
      <c r="F5" s="5">
        <f>SUM('Ablesewerte Strom'!F5-'Ablesewerte Strom'!E5)</f>
        <v>0</v>
      </c>
      <c r="G5" s="5">
        <f>SUM('Ablesewerte Strom'!G5-'Ablesewerte Strom'!F5)</f>
        <v>19107</v>
      </c>
      <c r="H5" s="3">
        <f>SUM('Ablesewerte Strom'!H5-'Ablesewerte Strom'!G5)</f>
        <v>1356.5</v>
      </c>
      <c r="I5" s="3">
        <f>SUM('Ablesewerte Strom'!I5-'Ablesewerte Strom'!H5)</f>
        <v>1601.7000000000007</v>
      </c>
      <c r="J5" s="3">
        <f>SUM('Ablesewerte Strom'!J5-'Ablesewerte Strom'!I5)</f>
        <v>1357.2999999999993</v>
      </c>
      <c r="K5" s="3">
        <f>SUM('Ablesewerte Strom'!K5-'Ablesewerte Strom'!J5)</f>
        <v>1056.7999999999993</v>
      </c>
      <c r="L5" s="3">
        <f>SUM('Ablesewerte Strom'!L5-'Ablesewerte Strom'!K5)</f>
        <v>1483.2999999999993</v>
      </c>
      <c r="M5" s="3">
        <f>SUM('Ablesewerte Strom'!M5-'Ablesewerte Strom'!L5)</f>
        <v>2468.4000000000015</v>
      </c>
      <c r="N5" s="3">
        <f>SUM('Ablesewerte Strom'!N5-'Ablesewerte Strom'!M5)</f>
        <v>2430.0999999999985</v>
      </c>
      <c r="O5" s="3">
        <f>SUM('Ablesewerte Strom'!O5-'Ablesewerte Strom'!N5)</f>
        <v>2854.4000000000015</v>
      </c>
    </row>
    <row r="6" spans="1:17" x14ac:dyDescent="0.2">
      <c r="A6" t="s">
        <v>49</v>
      </c>
      <c r="D6" s="5">
        <v>0</v>
      </c>
      <c r="E6" s="5">
        <f>SUM('Ablesewerte Strom'!E6-'Ablesewerte Strom'!D6)</f>
        <v>0</v>
      </c>
      <c r="F6" s="5">
        <f>SUM('Ablesewerte Strom'!F6-'Ablesewerte Strom'!E6)</f>
        <v>0</v>
      </c>
      <c r="G6" s="5">
        <f>SUM('Ablesewerte Strom'!G6-'Ablesewerte Strom'!F6)</f>
        <v>28718.5</v>
      </c>
      <c r="H6" s="3">
        <f>SUM('Ablesewerte Strom'!H6-'Ablesewerte Strom'!G6)</f>
        <v>95.900000000001455</v>
      </c>
      <c r="I6" s="3">
        <f>SUM('Ablesewerte Strom'!I6-'Ablesewerte Strom'!H6)</f>
        <v>135.5</v>
      </c>
      <c r="J6" s="3">
        <f>SUM('Ablesewerte Strom'!J6-'Ablesewerte Strom'!I6)</f>
        <v>102.5</v>
      </c>
      <c r="K6" s="3">
        <f>SUM('Ablesewerte Strom'!K6-'Ablesewerte Strom'!J6)</f>
        <v>25.399999999997817</v>
      </c>
      <c r="L6" s="3">
        <f>SUM('Ablesewerte Strom'!L6-'Ablesewerte Strom'!K6)</f>
        <v>160.90000000000146</v>
      </c>
      <c r="M6" s="3">
        <f>SUM('Ablesewerte Strom'!M6-'Ablesewerte Strom'!L6)</f>
        <v>194</v>
      </c>
      <c r="N6" s="3">
        <f>SUM('Ablesewerte Strom'!N6-'Ablesewerte Strom'!M6)</f>
        <v>210.70000000000073</v>
      </c>
      <c r="O6" s="3">
        <f>SUM('Ablesewerte Strom'!O6-'Ablesewerte Strom'!N6)</f>
        <v>220.09999999999854</v>
      </c>
    </row>
    <row r="7" spans="1:17" x14ac:dyDescent="0.2">
      <c r="A7" t="s">
        <v>50</v>
      </c>
      <c r="D7" s="5">
        <v>0</v>
      </c>
      <c r="E7" s="5">
        <f>SUM('Ablesewerte Strom'!E7-'Ablesewerte Strom'!D7)</f>
        <v>0</v>
      </c>
      <c r="F7" s="5">
        <f>SUM('Ablesewerte Strom'!F7-'Ablesewerte Strom'!E7)</f>
        <v>0</v>
      </c>
      <c r="G7" s="5">
        <f>SUM('Ablesewerte Strom'!G7-'Ablesewerte Strom'!F7)</f>
        <v>36475</v>
      </c>
      <c r="H7" s="3">
        <f>SUM('Ablesewerte Strom'!H7-'Ablesewerte Strom'!G7)</f>
        <v>104.40000000000146</v>
      </c>
      <c r="I7" s="3">
        <f>SUM('Ablesewerte Strom'!I7-'Ablesewerte Strom'!H7)</f>
        <v>68.400000000001455</v>
      </c>
      <c r="J7" s="3">
        <f>SUM('Ablesewerte Strom'!J7-'Ablesewerte Strom'!I7)</f>
        <v>60.599999999998545</v>
      </c>
      <c r="K7" s="3">
        <f>SUM('Ablesewerte Strom'!K7-'Ablesewerte Strom'!J7)</f>
        <v>70</v>
      </c>
      <c r="L7" s="3">
        <f>SUM('Ablesewerte Strom'!L7-'Ablesewerte Strom'!K7)</f>
        <v>82</v>
      </c>
      <c r="M7" s="3">
        <f>SUM('Ablesewerte Strom'!M7-'Ablesewerte Strom'!L7)</f>
        <v>145.09999999999854</v>
      </c>
      <c r="N7" s="3">
        <f>SUM('Ablesewerte Strom'!N7-'Ablesewerte Strom'!M7)</f>
        <v>129.19999999999709</v>
      </c>
      <c r="O7" s="3">
        <f>SUM('Ablesewerte Strom'!O7-'Ablesewerte Strom'!N7)</f>
        <v>196.70000000000437</v>
      </c>
    </row>
    <row r="8" spans="1:17" x14ac:dyDescent="0.2">
      <c r="A8" t="s">
        <v>52</v>
      </c>
      <c r="D8" s="5">
        <f>SUM('Ablesewerte Strom'!D8-'Ablesewerte Strom'!C8)</f>
        <v>0</v>
      </c>
      <c r="E8" s="5">
        <f>SUM('Ablesewerte Strom'!E8-'Ablesewerte Strom'!D8)</f>
        <v>0</v>
      </c>
      <c r="F8" s="5">
        <f>SUM('Ablesewerte Strom'!F8-'Ablesewerte Strom'!E8)</f>
        <v>0</v>
      </c>
      <c r="G8" s="5">
        <f>SUM('Ablesewerte Strom'!G8-'Ablesewerte Strom'!F8)</f>
        <v>0</v>
      </c>
      <c r="H8" s="5">
        <f>SUM('Ablesewerte Strom'!H8-'Ablesewerte Strom'!G8)</f>
        <v>0</v>
      </c>
      <c r="I8" s="5">
        <f>SUM('Ablesewerte Strom'!I8-'Ablesewerte Strom'!H8)</f>
        <v>0</v>
      </c>
      <c r="J8" s="5">
        <f>SUM('Ablesewerte Strom'!J8-'Ablesewerte Strom'!I8)</f>
        <v>0</v>
      </c>
      <c r="K8" s="5">
        <f>SUM('Ablesewerte Strom'!K8-'Ablesewerte Strom'!J8)</f>
        <v>0</v>
      </c>
      <c r="L8" s="5">
        <f>SUM('Ablesewerte Strom'!L8-'Ablesewerte Strom'!K8)</f>
        <v>0</v>
      </c>
      <c r="M8" s="5">
        <f>SUM('Ablesewerte Strom'!M8-'Ablesewerte Strom'!L8)</f>
        <v>0</v>
      </c>
      <c r="N8" s="5">
        <f>SUM('Ablesewerte Strom'!N8-'Ablesewerte Strom'!M8)</f>
        <v>0</v>
      </c>
      <c r="O8" s="5">
        <f>SUM('Ablesewerte Strom'!O8-'Ablesewerte Strom'!N8)</f>
        <v>0</v>
      </c>
    </row>
    <row r="9" spans="1:17" x14ac:dyDescent="0.2">
      <c r="A9" t="s">
        <v>55</v>
      </c>
      <c r="D9" s="3">
        <f>SUM('Ablesewerte Strom'!D9-'Ablesewerte Strom'!C9)</f>
        <v>39.81</v>
      </c>
      <c r="E9" s="3">
        <f>SUM('Ablesewerte Strom'!E9-'Ablesewerte Strom'!D9)</f>
        <v>37.17</v>
      </c>
      <c r="F9" s="3">
        <f>SUM('Ablesewerte Strom'!F9-'Ablesewerte Strom'!E9)</f>
        <v>45.16</v>
      </c>
      <c r="G9" s="3">
        <f>SUM('Ablesewerte Strom'!G9-'Ablesewerte Strom'!F9)</f>
        <v>49.19</v>
      </c>
      <c r="H9" s="3">
        <f>SUM('Ablesewerte Strom'!H9-'Ablesewerte Strom'!G9)</f>
        <v>32.909999999999997</v>
      </c>
      <c r="I9" s="3">
        <f>SUM('Ablesewerte Strom'!I9-'Ablesewerte Strom'!H9)</f>
        <v>47.220000000000027</v>
      </c>
      <c r="J9" s="3">
        <f>SUM('Ablesewerte Strom'!J9-'Ablesewerte Strom'!I9)</f>
        <v>41.70999999999998</v>
      </c>
      <c r="K9" s="3">
        <f>SUM('Ablesewerte Strom'!K9-'Ablesewerte Strom'!J9)</f>
        <v>62.470000000000027</v>
      </c>
      <c r="L9" s="3">
        <f>SUM('Ablesewerte Strom'!L9-'Ablesewerte Strom'!K9)</f>
        <v>45.089999999999975</v>
      </c>
      <c r="M9" s="3">
        <f>SUM('Ablesewerte Strom'!M9-'Ablesewerte Strom'!L9)</f>
        <v>53.56</v>
      </c>
      <c r="N9" s="3">
        <f>SUM('Ablesewerte Strom'!N9-'Ablesewerte Strom'!M9)</f>
        <v>44.07000000000005</v>
      </c>
      <c r="O9" s="3">
        <f>SUM('Ablesewerte Strom'!O9-'Ablesewerte Strom'!N9)</f>
        <v>45.519999999999982</v>
      </c>
    </row>
    <row r="10" spans="1:17" x14ac:dyDescent="0.2">
      <c r="A10" t="s">
        <v>56</v>
      </c>
      <c r="D10" s="3">
        <f>SUM('Ablesewerte Strom'!D10-'Ablesewerte Strom'!C10)</f>
        <v>30.090000000000003</v>
      </c>
      <c r="E10" s="3">
        <f>SUM('Ablesewerte Strom'!E10-'Ablesewerte Strom'!D10)</f>
        <v>27.78</v>
      </c>
      <c r="F10" s="3">
        <f>SUM('Ablesewerte Strom'!F10-'Ablesewerte Strom'!E10)</f>
        <v>25.759999999999991</v>
      </c>
      <c r="G10" s="3">
        <f>SUM('Ablesewerte Strom'!G10-'Ablesewerte Strom'!F10)</f>
        <v>25.060000000000002</v>
      </c>
      <c r="H10" s="3">
        <f>SUM('Ablesewerte Strom'!H10-'Ablesewerte Strom'!G10)</f>
        <v>16.599999999999994</v>
      </c>
      <c r="I10" s="3">
        <f>SUM('Ablesewerte Strom'!I10-'Ablesewerte Strom'!H10)</f>
        <v>22.580000000000013</v>
      </c>
      <c r="J10" s="3">
        <f>SUM('Ablesewerte Strom'!J10-'Ablesewerte Strom'!I10)</f>
        <v>19.75</v>
      </c>
      <c r="K10" s="3">
        <f>SUM('Ablesewerte Strom'!K10-'Ablesewerte Strom'!J10)</f>
        <v>16.22</v>
      </c>
      <c r="L10" s="3">
        <f>SUM('Ablesewerte Strom'!L10-'Ablesewerte Strom'!K10)</f>
        <v>21.22</v>
      </c>
      <c r="M10" s="3">
        <f>SUM('Ablesewerte Strom'!M10-'Ablesewerte Strom'!L10)</f>
        <v>28.560000000000002</v>
      </c>
      <c r="N10" s="3">
        <f>SUM('Ablesewerte Strom'!N10-'Ablesewerte Strom'!M10)</f>
        <v>25.659999999999968</v>
      </c>
      <c r="O10" s="3">
        <f>SUM('Ablesewerte Strom'!O10-'Ablesewerte Strom'!N10)</f>
        <v>28.710000000000036</v>
      </c>
    </row>
    <row r="11" spans="1:17" x14ac:dyDescent="0.2">
      <c r="A11" t="s">
        <v>57</v>
      </c>
      <c r="D11" s="3">
        <f>SUM('Ablesewerte Strom'!D11-'Ablesewerte Strom'!C11)</f>
        <v>530.20000000000073</v>
      </c>
      <c r="E11" s="3">
        <f>SUM('Ablesewerte Strom'!E11-'Ablesewerte Strom'!D11)</f>
        <v>460.39999999999964</v>
      </c>
      <c r="F11" s="3">
        <f>SUM('Ablesewerte Strom'!F11-'Ablesewerte Strom'!E11)</f>
        <v>453.5</v>
      </c>
      <c r="G11" s="3">
        <f>SUM('Ablesewerte Strom'!G11-'Ablesewerte Strom'!F11)</f>
        <v>540.39999999999964</v>
      </c>
      <c r="H11" s="3">
        <f>SUM('Ablesewerte Strom'!H11-'Ablesewerte Strom'!G11)</f>
        <v>374.30000000000109</v>
      </c>
      <c r="I11" s="3">
        <f>SUM('Ablesewerte Strom'!I11-'Ablesewerte Strom'!H11)</f>
        <v>453.39999999999964</v>
      </c>
      <c r="J11" s="3">
        <f>SUM('Ablesewerte Strom'!J11-'Ablesewerte Strom'!I11)</f>
        <v>404.60000000000036</v>
      </c>
      <c r="K11" s="3">
        <f>SUM('Ablesewerte Strom'!K11-'Ablesewerte Strom'!J11)</f>
        <v>346.39999999999964</v>
      </c>
      <c r="L11" s="3">
        <f>SUM('Ablesewerte Strom'!L11-'Ablesewerte Strom'!K11)</f>
        <v>647.29999999999927</v>
      </c>
      <c r="M11" s="3">
        <f>SUM('Ablesewerte Strom'!M11-'Ablesewerte Strom'!L11)</f>
        <v>788.19999999999891</v>
      </c>
      <c r="N11" s="3">
        <f>SUM('Ablesewerte Strom'!N11-'Ablesewerte Strom'!M11)</f>
        <v>766.80000000000291</v>
      </c>
      <c r="O11" s="3">
        <f>SUM('Ablesewerte Strom'!O11-'Ablesewerte Strom'!N11)</f>
        <v>809.19999999999709</v>
      </c>
    </row>
    <row r="12" spans="1:17" x14ac:dyDescent="0.2">
      <c r="A12" t="s">
        <v>58</v>
      </c>
      <c r="D12" s="5">
        <f>SUM('Ablesewerte Strom'!D12-'Ablesewerte Strom'!C12)</f>
        <v>0</v>
      </c>
      <c r="E12" s="5">
        <f>SUM('Ablesewerte Strom'!E12-'Ablesewerte Strom'!D12)</f>
        <v>0</v>
      </c>
      <c r="F12" s="5">
        <f>SUM('Ablesewerte Strom'!F12-'Ablesewerte Strom'!E12)</f>
        <v>0</v>
      </c>
      <c r="G12" s="5">
        <f>SUM('Ablesewerte Strom'!G12-'Ablesewerte Strom'!F12)</f>
        <v>0</v>
      </c>
      <c r="H12" s="5">
        <f>SUM('Ablesewerte Strom'!H12-'Ablesewerte Strom'!G12)</f>
        <v>0</v>
      </c>
      <c r="I12" s="5">
        <f>SUM('Ablesewerte Strom'!I12-'Ablesewerte Strom'!H12)</f>
        <v>0</v>
      </c>
      <c r="J12" s="5">
        <f>SUM('Ablesewerte Strom'!J12-'Ablesewerte Strom'!I12)</f>
        <v>0</v>
      </c>
      <c r="K12" s="5">
        <f>SUM('Ablesewerte Strom'!K12-'Ablesewerte Strom'!J12)</f>
        <v>0</v>
      </c>
      <c r="L12" s="5">
        <f>SUM('Ablesewerte Strom'!L12-'Ablesewerte Strom'!K12)</f>
        <v>0</v>
      </c>
      <c r="M12" s="5">
        <f>SUM('Ablesewerte Strom'!M12-'Ablesewerte Strom'!L12)</f>
        <v>0</v>
      </c>
      <c r="N12" s="5">
        <f>SUM('Ablesewerte Strom'!N12-'Ablesewerte Strom'!M12)</f>
        <v>0</v>
      </c>
      <c r="O12" s="5">
        <f>SUM('Ablesewerte Strom'!O12-'Ablesewerte Strom'!N12)</f>
        <v>0</v>
      </c>
    </row>
    <row r="13" spans="1:17" x14ac:dyDescent="0.2">
      <c r="A13" t="s">
        <v>59</v>
      </c>
      <c r="D13" s="3">
        <f>SUM('Ablesewerte Strom'!D13-'Ablesewerte Strom'!C13)</f>
        <v>800.59999999999991</v>
      </c>
      <c r="E13" s="3">
        <f>SUM('Ablesewerte Strom'!E13-'Ablesewerte Strom'!D13)</f>
        <v>2.2000000000000455</v>
      </c>
      <c r="F13" s="3">
        <f>SUM('Ablesewerte Strom'!F13-'Ablesewerte Strom'!E13)</f>
        <v>1.4000000000000909</v>
      </c>
      <c r="G13" s="3">
        <f>SUM('Ablesewerte Strom'!G13-'Ablesewerte Strom'!F13)</f>
        <v>3.8999999999998636</v>
      </c>
      <c r="H13" s="3">
        <f>SUM('Ablesewerte Strom'!H13-'Ablesewerte Strom'!G13)</f>
        <v>5.2999999999999545</v>
      </c>
      <c r="I13" s="3">
        <f>SUM('Ablesewerte Strom'!I13-'Ablesewerte Strom'!H13)</f>
        <v>1.4000000000000909</v>
      </c>
      <c r="J13" s="3">
        <f>SUM('Ablesewerte Strom'!J13-'Ablesewerte Strom'!I13)</f>
        <v>1.7000000000000455</v>
      </c>
      <c r="K13" s="3">
        <f>SUM('Ablesewerte Strom'!K13-'Ablesewerte Strom'!J13)</f>
        <v>3.0999999999999091</v>
      </c>
      <c r="L13" s="3">
        <f>SUM('Ablesewerte Strom'!L13-'Ablesewerte Strom'!K13)</f>
        <v>1.5</v>
      </c>
      <c r="M13" s="3">
        <f>SUM('Ablesewerte Strom'!M13-'Ablesewerte Strom'!L13)</f>
        <v>1.5</v>
      </c>
      <c r="N13" s="3">
        <f>SUM('Ablesewerte Strom'!N13-'Ablesewerte Strom'!M13)</f>
        <v>4</v>
      </c>
      <c r="O13" s="3">
        <f>SUM('Ablesewerte Strom'!O13-'Ablesewerte Strom'!N13)</f>
        <v>0.70000000000004547</v>
      </c>
    </row>
    <row r="14" spans="1:17" x14ac:dyDescent="0.2">
      <c r="A14" t="s">
        <v>53</v>
      </c>
      <c r="D14" s="3">
        <f>SUM('Ablesewerte Strom'!D14-'Ablesewerte Strom'!C14)</f>
        <v>0</v>
      </c>
      <c r="E14" s="3">
        <f>SUM('Ablesewerte Strom'!E14-'Ablesewerte Strom'!D14)</f>
        <v>0</v>
      </c>
      <c r="F14" s="3">
        <f>SUM('Ablesewerte Strom'!F14-'Ablesewerte Strom'!E14)</f>
        <v>0</v>
      </c>
      <c r="G14" s="3">
        <f>SUM('Ablesewerte Strom'!G14-'Ablesewerte Strom'!F14)</f>
        <v>0</v>
      </c>
      <c r="H14" s="3">
        <f>SUM('Ablesewerte Strom'!H14-'Ablesewerte Strom'!G14)</f>
        <v>0</v>
      </c>
      <c r="I14" s="3">
        <f>SUM('Ablesewerte Strom'!I14-'Ablesewerte Strom'!H14)</f>
        <v>0</v>
      </c>
      <c r="J14" s="3">
        <f>SUM('Ablesewerte Strom'!J14-'Ablesewerte Strom'!I14)</f>
        <v>0</v>
      </c>
      <c r="K14" s="3">
        <f>SUM('Ablesewerte Strom'!K14-'Ablesewerte Strom'!J14)</f>
        <v>0</v>
      </c>
      <c r="L14" s="3">
        <f>SUM('Ablesewerte Strom'!L14-'Ablesewerte Strom'!K14)</f>
        <v>0</v>
      </c>
      <c r="M14" s="3">
        <f>SUM('Ablesewerte Strom'!M14-'Ablesewerte Strom'!L14)</f>
        <v>0</v>
      </c>
      <c r="N14" s="3">
        <f>SUM('Ablesewerte Strom'!N14-'Ablesewerte Strom'!M14)</f>
        <v>0</v>
      </c>
      <c r="O14" s="3">
        <f>SUM('Ablesewerte Strom'!O14-'Ablesewerte Strom'!N14)</f>
        <v>0</v>
      </c>
    </row>
    <row r="15" spans="1:17" x14ac:dyDescent="0.2">
      <c r="A15" t="s">
        <v>54</v>
      </c>
      <c r="D15" s="3">
        <f>SUM('Ablesewerte Strom'!D15-'Ablesewerte Strom'!C15)</f>
        <v>696.30000000000018</v>
      </c>
      <c r="E15" s="3">
        <f>SUM('Ablesewerte Strom'!E15-'Ablesewerte Strom'!D15)</f>
        <v>682.5</v>
      </c>
      <c r="F15" s="3">
        <f>SUM('Ablesewerte Strom'!F15-'Ablesewerte Strom'!E15)</f>
        <v>719.39999999999964</v>
      </c>
      <c r="G15" s="3">
        <f>SUM('Ablesewerte Strom'!G15-'Ablesewerte Strom'!F15)</f>
        <v>671.5</v>
      </c>
      <c r="H15" s="3">
        <f>SUM('Ablesewerte Strom'!H15-'Ablesewerte Strom'!G15)</f>
        <v>475.20000000000073</v>
      </c>
      <c r="I15" s="3">
        <f>SUM('Ablesewerte Strom'!I15-'Ablesewerte Strom'!H15)</f>
        <v>495.60000000000036</v>
      </c>
      <c r="J15" s="3">
        <f>SUM('Ablesewerte Strom'!J15-'Ablesewerte Strom'!I15)</f>
        <v>453.69999999999891</v>
      </c>
      <c r="K15" s="3">
        <f>SUM('Ablesewerte Strom'!K15-'Ablesewerte Strom'!J15)</f>
        <v>232.80000000000109</v>
      </c>
      <c r="L15" s="3">
        <f>SUM('Ablesewerte Strom'!L15-'Ablesewerte Strom'!K15)</f>
        <v>556.5</v>
      </c>
      <c r="M15" s="3">
        <f>SUM('Ablesewerte Strom'!M15-'Ablesewerte Strom'!L15)</f>
        <v>729.69999999999891</v>
      </c>
      <c r="N15" s="3">
        <f>SUM('Ablesewerte Strom'!N15-'Ablesewerte Strom'!M15)</f>
        <v>585.20000000000073</v>
      </c>
      <c r="O15" s="3">
        <f>SUM('Ablesewerte Strom'!O15-'Ablesewerte Strom'!N15)</f>
        <v>847.79999999999927</v>
      </c>
    </row>
    <row r="17" spans="1:17" x14ac:dyDescent="0.2">
      <c r="A17" s="9" t="s">
        <v>73</v>
      </c>
    </row>
    <row r="18" spans="1:17" x14ac:dyDescent="0.2">
      <c r="A18" s="9" t="s">
        <v>74</v>
      </c>
    </row>
    <row r="20" spans="1:17" x14ac:dyDescent="0.2">
      <c r="A20" t="s">
        <v>35</v>
      </c>
    </row>
    <row r="21" spans="1:17" ht="15.75" x14ac:dyDescent="0.25">
      <c r="A21" s="1">
        <v>2006</v>
      </c>
    </row>
    <row r="22" spans="1:17" ht="15.75" x14ac:dyDescent="0.25">
      <c r="A22" s="1" t="s">
        <v>47</v>
      </c>
      <c r="C22" s="6" t="str">
        <f>'Ablesewerte Strom'!C2</f>
        <v>Jan</v>
      </c>
      <c r="D22" s="6" t="s">
        <v>6</v>
      </c>
      <c r="E22" s="6" t="s">
        <v>7</v>
      </c>
      <c r="F22" s="6" t="s">
        <v>8</v>
      </c>
      <c r="G22" s="6" t="s">
        <v>9</v>
      </c>
      <c r="H22" s="6" t="s">
        <v>10</v>
      </c>
      <c r="I22" s="6" t="s">
        <v>11</v>
      </c>
      <c r="J22" s="6" t="s">
        <v>12</v>
      </c>
      <c r="K22" s="6" t="s">
        <v>13</v>
      </c>
      <c r="L22" s="6" t="s">
        <v>14</v>
      </c>
      <c r="M22" s="6" t="s">
        <v>15</v>
      </c>
      <c r="N22" s="6" t="s">
        <v>16</v>
      </c>
      <c r="O22" s="6" t="s">
        <v>17</v>
      </c>
      <c r="P22" s="6" t="s">
        <v>37</v>
      </c>
    </row>
    <row r="23" spans="1:17" x14ac:dyDescent="0.2">
      <c r="A23" t="s">
        <v>35</v>
      </c>
      <c r="C23" s="6" t="str">
        <f>'Ablesewerte Strom'!C3</f>
        <v>10.1.</v>
      </c>
      <c r="D23" s="19"/>
      <c r="E23" s="19"/>
      <c r="F23" s="19"/>
      <c r="G23" s="19"/>
      <c r="H23" s="6"/>
      <c r="I23" s="6"/>
      <c r="J23" s="6"/>
      <c r="K23" s="6"/>
      <c r="L23" s="6"/>
      <c r="M23" s="6"/>
      <c r="N23" s="6"/>
      <c r="O23" s="6"/>
      <c r="P23" s="6"/>
    </row>
    <row r="24" spans="1:17" x14ac:dyDescent="0.2">
      <c r="A24" t="s">
        <v>48</v>
      </c>
      <c r="D24" s="4">
        <f>SUM('Ablesewerte Strom'!D23-'Ablesewerte Strom'!C23)</f>
        <v>3129.5999999999913</v>
      </c>
      <c r="E24" s="4">
        <f>SUM('Ablesewerte Strom'!E23-'Ablesewerte Strom'!D23)</f>
        <v>4082.1000000000058</v>
      </c>
      <c r="F24" s="4">
        <f>SUM('Ablesewerte Strom'!F23-'Ablesewerte Strom'!E23)</f>
        <v>3270.3999999999942</v>
      </c>
      <c r="G24" s="4">
        <f>SUM('Ablesewerte Strom'!G23-'Ablesewerte Strom'!F23)</f>
        <v>2653.5</v>
      </c>
      <c r="H24" s="4">
        <f>SUM('Ablesewerte Strom'!H23-'Ablesewerte Strom'!G23)</f>
        <v>2168.5</v>
      </c>
      <c r="I24" s="4">
        <f>SUM('Ablesewerte Strom'!I23-'Ablesewerte Strom'!H23)</f>
        <v>2710.5</v>
      </c>
      <c r="J24" s="4">
        <f>SUM('Ablesewerte Strom'!J23-'Ablesewerte Strom'!I23)</f>
        <v>2257.5</v>
      </c>
      <c r="K24" s="4">
        <f>SUM('Ablesewerte Strom'!K23-'Ablesewerte Strom'!J23)</f>
        <v>1589</v>
      </c>
      <c r="L24" s="4">
        <f>SUM('Ablesewerte Strom'!L23-'Ablesewerte Strom'!K23)</f>
        <v>1932.4000000000087</v>
      </c>
      <c r="M24" s="4">
        <f>SUM('Ablesewerte Strom'!M23-'Ablesewerte Strom'!L23)</f>
        <v>3467.1999999999825</v>
      </c>
      <c r="N24" s="4">
        <f>SUM('Ablesewerte Strom'!N23-'Ablesewerte Strom'!M23)</f>
        <v>3640.1000000000058</v>
      </c>
      <c r="O24" s="4">
        <f>SUM('Ablesewerte Strom'!O23-'Ablesewerte Strom'!N23)</f>
        <v>3238.6000000000058</v>
      </c>
      <c r="Q24" s="3">
        <f>SUM(D24:P24)</f>
        <v>34139.399999999994</v>
      </c>
    </row>
    <row r="25" spans="1:17" x14ac:dyDescent="0.2">
      <c r="A25" t="s">
        <v>60</v>
      </c>
      <c r="D25" s="4">
        <f>SUM('Ablesewerte Strom'!D24-'Ablesewerte Strom'!C24)</f>
        <v>2255.1999999999971</v>
      </c>
      <c r="E25" s="4">
        <f>SUM('Ablesewerte Strom'!E24-'Ablesewerte Strom'!D24)</f>
        <v>3108.6000000000058</v>
      </c>
      <c r="F25" s="4">
        <f>SUM('Ablesewerte Strom'!F24-'Ablesewerte Strom'!E24)</f>
        <v>2321.2999999999956</v>
      </c>
      <c r="G25" s="4">
        <f>SUM('Ablesewerte Strom'!G24-'Ablesewerte Strom'!F24)</f>
        <v>2086.2000000000044</v>
      </c>
      <c r="H25" s="4">
        <f>SUM('Ablesewerte Strom'!H24-'Ablesewerte Strom'!G24)</f>
        <v>1454.0999999999985</v>
      </c>
      <c r="I25" s="4">
        <f>SUM('Ablesewerte Strom'!I24-'Ablesewerte Strom'!H24)</f>
        <v>1905.1999999999971</v>
      </c>
      <c r="J25" s="4">
        <f>SUM('Ablesewerte Strom'!J24-'Ablesewerte Strom'!I24)</f>
        <v>1389.2000000000044</v>
      </c>
      <c r="K25" s="4">
        <f>SUM('Ablesewerte Strom'!K24-'Ablesewerte Strom'!J24)</f>
        <v>1177.5999999999985</v>
      </c>
      <c r="L25" s="4">
        <f>SUM('Ablesewerte Strom'!L24-'Ablesewerte Strom'!K24)</f>
        <v>1158.2999999999956</v>
      </c>
      <c r="M25" s="4">
        <f>SUM('Ablesewerte Strom'!M24-'Ablesewerte Strom'!L24)</f>
        <v>2375.4000000000015</v>
      </c>
      <c r="N25" s="4">
        <f>SUM('Ablesewerte Strom'!N24-'Ablesewerte Strom'!M24)</f>
        <v>2389.4000000000015</v>
      </c>
      <c r="O25" s="4">
        <f>SUM('Ablesewerte Strom'!O24-'Ablesewerte Strom'!N24)</f>
        <v>2255.3000000000029</v>
      </c>
      <c r="Q25" s="3">
        <f>SUM(D25:P25)</f>
        <v>23875.800000000003</v>
      </c>
    </row>
    <row r="26" spans="1:17" x14ac:dyDescent="0.2">
      <c r="A26" t="s">
        <v>49</v>
      </c>
      <c r="D26" s="4">
        <f>SUM('Ablesewerte Strom'!D25-'Ablesewerte Strom'!C25)</f>
        <v>207</v>
      </c>
      <c r="E26" s="4">
        <f>SUM('Ablesewerte Strom'!E25-'Ablesewerte Strom'!D25)</f>
        <v>232.70000000000073</v>
      </c>
      <c r="F26" s="4">
        <f>SUM('Ablesewerte Strom'!F25-'Ablesewerte Strom'!E25)</f>
        <v>216</v>
      </c>
      <c r="G26" s="4">
        <f>SUM('Ablesewerte Strom'!G25-'Ablesewerte Strom'!F25)</f>
        <v>110.39999999999782</v>
      </c>
      <c r="H26" s="4">
        <f>SUM('Ablesewerte Strom'!H25-'Ablesewerte Strom'!G25)</f>
        <v>123.30000000000291</v>
      </c>
      <c r="I26" s="4">
        <f>SUM('Ablesewerte Strom'!I25-'Ablesewerte Strom'!H25)</f>
        <v>91.69999999999709</v>
      </c>
      <c r="J26" s="4">
        <f>SUM('Ablesewerte Strom'!J25-'Ablesewerte Strom'!I25)</f>
        <v>22.200000000000728</v>
      </c>
      <c r="K26" s="4">
        <f>SUM('Ablesewerte Strom'!K25-'Ablesewerte Strom'!J25)</f>
        <v>13.200000000000728</v>
      </c>
      <c r="L26" s="4">
        <f>SUM('Ablesewerte Strom'!L25-'Ablesewerte Strom'!K25)</f>
        <v>102.29999999999927</v>
      </c>
      <c r="M26" s="4">
        <f>SUM('Ablesewerte Strom'!M25-'Ablesewerte Strom'!L25)</f>
        <v>160.60000000000218</v>
      </c>
      <c r="N26" s="4">
        <f>SUM('Ablesewerte Strom'!N25-'Ablesewerte Strom'!M25)</f>
        <v>198.39999999999782</v>
      </c>
      <c r="O26" s="4">
        <f>SUM('Ablesewerte Strom'!O25-'Ablesewerte Strom'!N25)</f>
        <v>159.5</v>
      </c>
      <c r="Q26" s="3">
        <f>SUM(D26:P26)</f>
        <v>1637.2999999999993</v>
      </c>
    </row>
    <row r="27" spans="1:17" x14ac:dyDescent="0.2">
      <c r="A27" t="s">
        <v>50</v>
      </c>
      <c r="D27" s="4">
        <f>SUM('Ablesewerte Strom'!D26-'Ablesewerte Strom'!C26)</f>
        <v>158.5</v>
      </c>
      <c r="E27" s="4">
        <f>SUM('Ablesewerte Strom'!E26-'Ablesewerte Strom'!D26)</f>
        <v>253.79999999999563</v>
      </c>
      <c r="F27" s="4">
        <f>SUM('Ablesewerte Strom'!F26-'Ablesewerte Strom'!E26)</f>
        <v>234.20000000000437</v>
      </c>
      <c r="G27" s="4">
        <f>SUM('Ablesewerte Strom'!G26-'Ablesewerte Strom'!F26)</f>
        <v>210.69999999999709</v>
      </c>
      <c r="H27" s="4">
        <f>SUM('Ablesewerte Strom'!H26-'Ablesewerte Strom'!G26)</f>
        <v>193.80000000000291</v>
      </c>
      <c r="I27" s="4">
        <f>SUM('Ablesewerte Strom'!I26-'Ablesewerte Strom'!H26)</f>
        <v>147.09999999999854</v>
      </c>
      <c r="J27" s="4">
        <f>SUM('Ablesewerte Strom'!J26-'Ablesewerte Strom'!I26)</f>
        <v>135</v>
      </c>
      <c r="K27" s="4">
        <f>SUM('Ablesewerte Strom'!K26-'Ablesewerte Strom'!J26)</f>
        <v>52.400000000001455</v>
      </c>
      <c r="L27" s="4">
        <f>SUM('Ablesewerte Strom'!L26-'Ablesewerte Strom'!K26)</f>
        <v>75.400000000001455</v>
      </c>
      <c r="M27" s="4">
        <f>SUM('Ablesewerte Strom'!M26-'Ablesewerte Strom'!L26)</f>
        <v>167.89999999999418</v>
      </c>
      <c r="N27" s="4">
        <f>SUM('Ablesewerte Strom'!N26-'Ablesewerte Strom'!M26)</f>
        <v>192.10000000000582</v>
      </c>
      <c r="O27" s="4">
        <f>SUM('Ablesewerte Strom'!O26-'Ablesewerte Strom'!N26)</f>
        <v>138.39999999999418</v>
      </c>
      <c r="Q27" s="3">
        <f>SUM(D27:P27)</f>
        <v>1959.2999999999956</v>
      </c>
    </row>
    <row r="28" spans="1:17" x14ac:dyDescent="0.2">
      <c r="A28" t="s">
        <v>52</v>
      </c>
      <c r="B28" t="s">
        <v>91</v>
      </c>
      <c r="D28" s="5"/>
      <c r="E28" s="5">
        <v>13801</v>
      </c>
      <c r="F28" s="5">
        <v>7220</v>
      </c>
      <c r="G28" s="5">
        <v>5096</v>
      </c>
      <c r="H28" s="5">
        <v>6184</v>
      </c>
      <c r="I28" s="5">
        <v>5396</v>
      </c>
      <c r="J28" s="5">
        <v>6864</v>
      </c>
      <c r="K28" s="5">
        <v>6551</v>
      </c>
      <c r="L28" s="5">
        <v>5070</v>
      </c>
      <c r="M28" s="5">
        <v>7402</v>
      </c>
      <c r="N28" s="5">
        <v>7988</v>
      </c>
      <c r="O28" s="5">
        <v>7384</v>
      </c>
    </row>
    <row r="29" spans="1:17" x14ac:dyDescent="0.2">
      <c r="B29" t="s">
        <v>90</v>
      </c>
      <c r="D29" s="5"/>
      <c r="E29" s="5">
        <v>3240</v>
      </c>
      <c r="F29" s="5">
        <v>1735</v>
      </c>
      <c r="G29" s="5">
        <v>1626</v>
      </c>
      <c r="H29" s="5">
        <v>1793</v>
      </c>
      <c r="I29" s="5">
        <v>1748</v>
      </c>
      <c r="J29" s="5">
        <v>1977</v>
      </c>
      <c r="K29" s="5">
        <v>1886</v>
      </c>
      <c r="L29" s="5">
        <v>1672</v>
      </c>
      <c r="M29" s="5">
        <v>1886</v>
      </c>
      <c r="N29" s="5">
        <v>1771</v>
      </c>
      <c r="O29" s="5">
        <v>1735</v>
      </c>
      <c r="Q29" s="3">
        <f>SUM(E28:O29)</f>
        <v>100025</v>
      </c>
    </row>
    <row r="30" spans="1:17" x14ac:dyDescent="0.2">
      <c r="A30" t="s">
        <v>92</v>
      </c>
      <c r="D30" s="4">
        <f>SUM('Ablesewerte Strom'!D28-'Ablesewerte Strom'!C28)</f>
        <v>39.789999999999964</v>
      </c>
      <c r="E30" s="4">
        <f>SUM('Ablesewerte Strom'!E28-'Ablesewerte Strom'!D28)</f>
        <v>48.17999999999995</v>
      </c>
      <c r="F30" s="4">
        <f>SUM('Ablesewerte Strom'!F28-'Ablesewerte Strom'!E28)</f>
        <v>50.270000000000095</v>
      </c>
      <c r="G30" s="4">
        <f>SUM('Ablesewerte Strom'!G28-'Ablesewerte Strom'!F28)</f>
        <v>34.549999999999955</v>
      </c>
      <c r="H30" s="4">
        <f>SUM('Ablesewerte Strom'!H28-'Ablesewerte Strom'!G28)</f>
        <v>42.139999999999986</v>
      </c>
      <c r="I30" s="4">
        <f>SUM('Ablesewerte Strom'!I28-'Ablesewerte Strom'!H28)</f>
        <v>46.590000000000032</v>
      </c>
      <c r="J30" s="4">
        <f>SUM('Ablesewerte Strom'!J28-'Ablesewerte Strom'!I28)</f>
        <v>56.240000000000009</v>
      </c>
      <c r="K30" s="4">
        <f>SUM('Ablesewerte Strom'!K28-'Ablesewerte Strom'!J28)</f>
        <v>58.539999999999964</v>
      </c>
      <c r="L30" s="4">
        <f>SUM('Ablesewerte Strom'!L28-'Ablesewerte Strom'!K28)</f>
        <v>37.42999999999995</v>
      </c>
      <c r="M30" s="4">
        <f>SUM('Ablesewerte Strom'!M28-'Ablesewerte Strom'!L28)</f>
        <v>47.769999999999982</v>
      </c>
      <c r="N30" s="4">
        <f>SUM('Ablesewerte Strom'!N28-'Ablesewerte Strom'!M28)</f>
        <v>49.029999999999973</v>
      </c>
      <c r="O30" s="4">
        <f>SUM('Ablesewerte Strom'!O28-'Ablesewerte Strom'!N28)</f>
        <v>40.850000000000136</v>
      </c>
    </row>
    <row r="31" spans="1:17" x14ac:dyDescent="0.2">
      <c r="A31" t="s">
        <v>93</v>
      </c>
      <c r="D31" s="4">
        <f>SUM('Ablesewerte Strom'!D29-'Ablesewerte Strom'!C29)</f>
        <v>24.139999999999986</v>
      </c>
      <c r="E31" s="4">
        <f>SUM('Ablesewerte Strom'!E29-'Ablesewerte Strom'!D29)</f>
        <v>29.04000000000002</v>
      </c>
      <c r="F31" s="4">
        <f>SUM('Ablesewerte Strom'!F29-'Ablesewerte Strom'!E29)</f>
        <v>27.089999999999975</v>
      </c>
      <c r="G31" s="4">
        <f>SUM('Ablesewerte Strom'!G29-'Ablesewerte Strom'!F29)</f>
        <v>16.75</v>
      </c>
      <c r="H31" s="4">
        <f>SUM('Ablesewerte Strom'!H29-'Ablesewerte Strom'!G29)</f>
        <v>19.920000000000016</v>
      </c>
      <c r="I31" s="4">
        <f>SUM('Ablesewerte Strom'!I29-'Ablesewerte Strom'!H29)</f>
        <v>20.70999999999998</v>
      </c>
      <c r="J31" s="4">
        <f>SUM('Ablesewerte Strom'!J29-'Ablesewerte Strom'!I29)</f>
        <v>23.600000000000023</v>
      </c>
      <c r="K31" s="4">
        <f>SUM('Ablesewerte Strom'!K29-'Ablesewerte Strom'!J29)</f>
        <v>15.349999999999966</v>
      </c>
      <c r="L31" s="4">
        <f>SUM('Ablesewerte Strom'!L29-'Ablesewerte Strom'!K29)</f>
        <v>17.860000000000014</v>
      </c>
      <c r="M31" s="4">
        <f>SUM('Ablesewerte Strom'!M29-'Ablesewerte Strom'!L29)</f>
        <v>26.049999999999955</v>
      </c>
      <c r="N31" s="4">
        <f>SUM('Ablesewerte Strom'!N29-'Ablesewerte Strom'!M29)</f>
        <v>32.860000000000014</v>
      </c>
      <c r="O31" s="4">
        <f>SUM('Ablesewerte Strom'!O29-'Ablesewerte Strom'!N29)</f>
        <v>23.860000000000014</v>
      </c>
    </row>
    <row r="32" spans="1:17" x14ac:dyDescent="0.2">
      <c r="A32" t="s">
        <v>94</v>
      </c>
      <c r="D32" s="4">
        <f>SUM('Ablesewerte Strom'!D30-'Ablesewerte Strom'!C30)</f>
        <v>761.10000000000218</v>
      </c>
      <c r="E32" s="4">
        <f>SUM('Ablesewerte Strom'!E30-'Ablesewerte Strom'!D30)</f>
        <v>888.70000000000073</v>
      </c>
      <c r="F32" s="4">
        <f>SUM('Ablesewerte Strom'!F30-'Ablesewerte Strom'!E30)</f>
        <v>802.39999999999782</v>
      </c>
      <c r="G32" s="4">
        <f>SUM('Ablesewerte Strom'!G30-'Ablesewerte Strom'!F30)</f>
        <v>509.79999999999927</v>
      </c>
      <c r="H32" s="4">
        <f>SUM('Ablesewerte Strom'!H30-'Ablesewerte Strom'!G30)</f>
        <v>556.30000000000291</v>
      </c>
      <c r="I32" s="4">
        <f>SUM('Ablesewerte Strom'!I30-'Ablesewerte Strom'!H30)</f>
        <v>508.39999999999782</v>
      </c>
      <c r="J32" s="4">
        <f>SUM('Ablesewerte Strom'!J30-'Ablesewerte Strom'!I30)</f>
        <v>565.90000000000146</v>
      </c>
      <c r="K32" s="4">
        <f>SUM('Ablesewerte Strom'!K30-'Ablesewerte Strom'!J30)</f>
        <v>276.5</v>
      </c>
      <c r="L32" s="4">
        <f>SUM('Ablesewerte Strom'!L30-'Ablesewerte Strom'!K30)</f>
        <v>464.29999999999927</v>
      </c>
      <c r="M32" s="4">
        <f>SUM('Ablesewerte Strom'!M30-'Ablesewerte Strom'!L30)</f>
        <v>741.90000000000146</v>
      </c>
      <c r="N32" s="4">
        <f>SUM('Ablesewerte Strom'!N30-'Ablesewerte Strom'!M30)</f>
        <v>914.19999999999709</v>
      </c>
      <c r="O32" s="4">
        <f>SUM('Ablesewerte Strom'!O30-'Ablesewerte Strom'!N30)</f>
        <v>701.60000000000218</v>
      </c>
    </row>
    <row r="33" spans="1:18" x14ac:dyDescent="0.2">
      <c r="A33" t="s">
        <v>95</v>
      </c>
      <c r="D33" s="4">
        <f>SUM('Ablesewerte Strom'!D31-'Ablesewerte Strom'!C31)</f>
        <v>0</v>
      </c>
      <c r="E33" s="4">
        <f>SUM('Ablesewerte Strom'!E31-'Ablesewerte Strom'!D31)</f>
        <v>0</v>
      </c>
      <c r="F33" s="4">
        <f>SUM('Ablesewerte Strom'!F31-'Ablesewerte Strom'!E31)</f>
        <v>0</v>
      </c>
      <c r="G33" s="4">
        <f>SUM('Ablesewerte Strom'!G31-'Ablesewerte Strom'!F31)</f>
        <v>0</v>
      </c>
      <c r="H33" s="4">
        <f>SUM('Ablesewerte Strom'!H31-'Ablesewerte Strom'!G31)</f>
        <v>0</v>
      </c>
      <c r="I33" s="4">
        <f>SUM('Ablesewerte Strom'!I31-'Ablesewerte Strom'!H31)</f>
        <v>0</v>
      </c>
      <c r="J33" s="4">
        <f>SUM('Ablesewerte Strom'!J31-'Ablesewerte Strom'!I31)</f>
        <v>0</v>
      </c>
      <c r="K33" s="4">
        <f>SUM('Ablesewerte Strom'!K31-'Ablesewerte Strom'!J31)</f>
        <v>0</v>
      </c>
      <c r="L33" s="4">
        <f>SUM('Ablesewerte Strom'!L31-'Ablesewerte Strom'!K31)</f>
        <v>0</v>
      </c>
      <c r="M33" s="4">
        <f>SUM('Ablesewerte Strom'!M31-'Ablesewerte Strom'!L31)</f>
        <v>0</v>
      </c>
      <c r="N33" s="4">
        <f>SUM('Ablesewerte Strom'!N31-'Ablesewerte Strom'!M31)</f>
        <v>0</v>
      </c>
      <c r="O33" s="4">
        <f>SUM('Ablesewerte Strom'!O31-'Ablesewerte Strom'!N31)</f>
        <v>0</v>
      </c>
    </row>
    <row r="34" spans="1:18" x14ac:dyDescent="0.2">
      <c r="A34" t="s">
        <v>96</v>
      </c>
      <c r="D34" s="4">
        <f>SUM('Ablesewerte Strom'!D32-'Ablesewerte Strom'!C32)</f>
        <v>0.79999999999995453</v>
      </c>
      <c r="E34" s="4">
        <f>SUM('Ablesewerte Strom'!E32-'Ablesewerte Strom'!D32)</f>
        <v>0.70000000000004547</v>
      </c>
      <c r="F34" s="4">
        <f>SUM('Ablesewerte Strom'!F32-'Ablesewerte Strom'!E32)</f>
        <v>1.5</v>
      </c>
      <c r="G34" s="4">
        <f>SUM('Ablesewerte Strom'!G32-'Ablesewerte Strom'!F32)</f>
        <v>2.0999999999999091</v>
      </c>
      <c r="H34" s="4">
        <f>SUM('Ablesewerte Strom'!H32-'Ablesewerte Strom'!G32)</f>
        <v>2.6000000000001364</v>
      </c>
      <c r="I34" s="4">
        <f>SUM('Ablesewerte Strom'!I32-'Ablesewerte Strom'!H32)</f>
        <v>2.8999999999998636</v>
      </c>
      <c r="J34" s="4">
        <f>SUM('Ablesewerte Strom'!J32-'Ablesewerte Strom'!I32)</f>
        <v>1.4000000000000909</v>
      </c>
      <c r="K34" s="4">
        <f>SUM('Ablesewerte Strom'!K32-'Ablesewerte Strom'!J32)</f>
        <v>2.9000000000000909</v>
      </c>
      <c r="L34" s="4">
        <f>SUM('Ablesewerte Strom'!L32-'Ablesewerte Strom'!K32)</f>
        <v>1.2999999999999545</v>
      </c>
      <c r="M34" s="4">
        <f>SUM('Ablesewerte Strom'!M32-'Ablesewerte Strom'!L32)</f>
        <v>1.7000000000000455</v>
      </c>
      <c r="N34" s="4">
        <f>SUM('Ablesewerte Strom'!N32-'Ablesewerte Strom'!M32)</f>
        <v>2.5999999999999091</v>
      </c>
      <c r="O34" s="4">
        <f>SUM('Ablesewerte Strom'!O32-'Ablesewerte Strom'!N32)</f>
        <v>0.70000000000004547</v>
      </c>
    </row>
    <row r="35" spans="1:18" x14ac:dyDescent="0.2">
      <c r="A35" t="s">
        <v>53</v>
      </c>
      <c r="D35" s="5">
        <v>3081</v>
      </c>
      <c r="E35" s="5">
        <v>3240</v>
      </c>
      <c r="F35" s="5">
        <v>2656</v>
      </c>
      <c r="G35" s="5">
        <v>1199</v>
      </c>
      <c r="H35" s="5">
        <v>1231</v>
      </c>
      <c r="I35" s="5">
        <v>841</v>
      </c>
      <c r="J35" s="5"/>
      <c r="K35" s="5"/>
      <c r="L35" s="5"/>
      <c r="M35" s="5"/>
      <c r="N35" s="5"/>
      <c r="O35" s="5">
        <v>13837</v>
      </c>
    </row>
    <row r="36" spans="1:18" x14ac:dyDescent="0.2">
      <c r="D36" s="5">
        <v>808</v>
      </c>
      <c r="E36" s="5">
        <v>727</v>
      </c>
      <c r="F36" s="5">
        <v>714</v>
      </c>
      <c r="G36" s="5">
        <v>394</v>
      </c>
      <c r="H36" s="5">
        <v>417</v>
      </c>
      <c r="I36" s="5">
        <v>342</v>
      </c>
      <c r="J36" s="5"/>
      <c r="K36" s="5"/>
      <c r="L36" s="5"/>
      <c r="M36" s="5"/>
      <c r="N36" s="5"/>
      <c r="O36" s="5">
        <v>3345</v>
      </c>
      <c r="Q36" s="3">
        <f>SUM(D35:O36)</f>
        <v>32832</v>
      </c>
    </row>
    <row r="37" spans="1:18" x14ac:dyDescent="0.2">
      <c r="A37" t="s">
        <v>97</v>
      </c>
      <c r="D37" s="4">
        <f>SUM('Ablesewerte Strom'!D34-'Ablesewerte Strom'!C34)</f>
        <v>561.10000000000036</v>
      </c>
      <c r="E37" s="4">
        <f>SUM('Ablesewerte Strom'!E34-'Ablesewerte Strom'!D34)</f>
        <v>793.60000000000036</v>
      </c>
      <c r="F37" s="4">
        <f>SUM('Ablesewerte Strom'!F34-'Ablesewerte Strom'!E34)</f>
        <v>669.29999999999927</v>
      </c>
      <c r="G37" s="4">
        <f>SUM('Ablesewerte Strom'!G34-'Ablesewerte Strom'!F34)</f>
        <v>616.19999999999891</v>
      </c>
      <c r="H37" s="4">
        <f>SUM('Ablesewerte Strom'!H34-'Ablesewerte Strom'!G34)</f>
        <v>540.70000000000073</v>
      </c>
      <c r="I37" s="4">
        <f>SUM('Ablesewerte Strom'!I34-'Ablesewerte Strom'!H34)</f>
        <v>560</v>
      </c>
      <c r="J37" s="4">
        <f>SUM('Ablesewerte Strom'!J34-'Ablesewerte Strom'!I34)</f>
        <v>576.20000000000073</v>
      </c>
      <c r="K37" s="4">
        <f>SUM('Ablesewerte Strom'!K34-'Ablesewerte Strom'!J34)</f>
        <v>458.20000000000073</v>
      </c>
      <c r="L37" s="4">
        <f>SUM('Ablesewerte Strom'!L34-'Ablesewerte Strom'!K34)</f>
        <v>617.09999999999854</v>
      </c>
      <c r="M37" s="4">
        <f>SUM('Ablesewerte Strom'!M34-'Ablesewerte Strom'!L34)</f>
        <v>634.40000000000146</v>
      </c>
      <c r="N37" s="4">
        <f>SUM('Ablesewerte Strom'!N34-'Ablesewerte Strom'!M34)</f>
        <v>762.70000000000073</v>
      </c>
      <c r="O37" s="4">
        <f>SUM('Ablesewerte Strom'!O34-'Ablesewerte Strom'!N34)</f>
        <v>583</v>
      </c>
      <c r="Q37" t="s">
        <v>100</v>
      </c>
      <c r="R37" s="20">
        <f>SUM(Q24:Q37)</f>
        <v>194468.8</v>
      </c>
    </row>
    <row r="38" spans="1:18" x14ac:dyDescent="0.2">
      <c r="A38" t="s">
        <v>35</v>
      </c>
    </row>
    <row r="40" spans="1:18" ht="15.75" x14ac:dyDescent="0.25">
      <c r="A40" s="1">
        <v>2007</v>
      </c>
    </row>
    <row r="41" spans="1:18" ht="15.75" x14ac:dyDescent="0.25">
      <c r="A41" s="1" t="s">
        <v>47</v>
      </c>
      <c r="C41" s="6">
        <f>'Ablesewerte Strom'!C19</f>
        <v>0</v>
      </c>
      <c r="D41" s="6" t="s">
        <v>6</v>
      </c>
      <c r="E41" s="6" t="s">
        <v>7</v>
      </c>
      <c r="F41" s="6" t="s">
        <v>8</v>
      </c>
      <c r="G41" s="6" t="s">
        <v>9</v>
      </c>
      <c r="H41" s="6" t="s">
        <v>10</v>
      </c>
      <c r="I41" s="6" t="s">
        <v>11</v>
      </c>
      <c r="J41" s="6" t="s">
        <v>12</v>
      </c>
      <c r="K41" s="6" t="s">
        <v>13</v>
      </c>
      <c r="L41" s="6" t="s">
        <v>14</v>
      </c>
      <c r="M41" s="6" t="s">
        <v>15</v>
      </c>
      <c r="N41" s="6" t="s">
        <v>16</v>
      </c>
      <c r="O41" s="6" t="s">
        <v>17</v>
      </c>
    </row>
    <row r="43" spans="1:18" x14ac:dyDescent="0.2">
      <c r="A43" t="s">
        <v>48</v>
      </c>
      <c r="D43" s="3">
        <f>SUM('Ablesewerte Strom'!D42-'Ablesewerte Strom'!C42)</f>
        <v>4365.7999999999884</v>
      </c>
      <c r="E43" s="3">
        <f>SUM('Ablesewerte Strom'!E42-'Ablesewerte Strom'!D42)</f>
        <v>3739</v>
      </c>
      <c r="F43" s="3">
        <f>SUM('Ablesewerte Strom'!F42-'Ablesewerte Strom'!E42)</f>
        <v>4020.5</v>
      </c>
      <c r="G43" s="3">
        <f>SUM('Ablesewerte Strom'!G42-'Ablesewerte Strom'!F42)</f>
        <v>2388.7000000000116</v>
      </c>
      <c r="H43" s="3">
        <f>SUM('Ablesewerte Strom'!H42-'Ablesewerte Strom'!G42)</f>
        <v>2857.2999999999884</v>
      </c>
      <c r="I43" s="3">
        <f>SUM('Ablesewerte Strom'!I42-'Ablesewerte Strom'!H42)</f>
        <v>2496.3000000000175</v>
      </c>
      <c r="J43" s="3">
        <f>SUM('Ablesewerte Strom'!J42-'Ablesewerte Strom'!I42)</f>
        <v>3009.6000000000058</v>
      </c>
      <c r="K43" s="3">
        <f>SUM('Ablesewerte Strom'!K42-'Ablesewerte Strom'!J42)</f>
        <v>683.89999999999418</v>
      </c>
      <c r="L43" s="3">
        <f>SUM('Ablesewerte Strom'!L42-'Ablesewerte Strom'!K42)</f>
        <v>2821.7999999999884</v>
      </c>
      <c r="M43" s="3">
        <f>SUM('Ablesewerte Strom'!M42-'Ablesewerte Strom'!L42)</f>
        <v>4734.7000000000116</v>
      </c>
      <c r="N43" s="3">
        <f>SUM('Ablesewerte Strom'!N42-'Ablesewerte Strom'!M42)</f>
        <v>4393.6000000000058</v>
      </c>
      <c r="O43" s="3">
        <f>SUM('Ablesewerte Strom'!C60-'Ablesewerte Strom'!N42)</f>
        <v>4384.6999999999825</v>
      </c>
      <c r="Q43" s="3">
        <f>SUM(D43:O43)</f>
        <v>39895.899999999994</v>
      </c>
    </row>
    <row r="44" spans="1:18" x14ac:dyDescent="0.2">
      <c r="A44" t="s">
        <v>60</v>
      </c>
      <c r="D44" s="3">
        <f>SUM('Ablesewerte Strom'!D43-'Ablesewerte Strom'!C43)</f>
        <v>3027</v>
      </c>
      <c r="E44" s="3">
        <f>SUM('Ablesewerte Strom'!E43-'Ablesewerte Strom'!D43)</f>
        <v>2596.0999999999985</v>
      </c>
      <c r="F44" s="3">
        <f>SUM('Ablesewerte Strom'!F43-'Ablesewerte Strom'!E43)</f>
        <v>2696.0999999999985</v>
      </c>
      <c r="G44" s="3">
        <f>SUM('Ablesewerte Strom'!G43-'Ablesewerte Strom'!F43)</f>
        <v>1569</v>
      </c>
      <c r="H44" s="3">
        <f>SUM('Ablesewerte Strom'!H43-'Ablesewerte Strom'!G43)</f>
        <v>1877.3000000000029</v>
      </c>
      <c r="I44" s="3">
        <f>SUM('Ablesewerte Strom'!I43-'Ablesewerte Strom'!H43)</f>
        <v>1573.6999999999971</v>
      </c>
      <c r="J44" s="3">
        <f>SUM('Ablesewerte Strom'!J43-'Ablesewerte Strom'!I43)</f>
        <v>1962.8999999999942</v>
      </c>
      <c r="K44" s="3">
        <f>SUM('Ablesewerte Strom'!K43-'Ablesewerte Strom'!J43)</f>
        <v>437.20000000001164</v>
      </c>
      <c r="L44" s="3">
        <f>SUM('Ablesewerte Strom'!L43-'Ablesewerte Strom'!K43)</f>
        <v>1943.7999999999884</v>
      </c>
      <c r="M44" s="3">
        <f>SUM('Ablesewerte Strom'!M43-'Ablesewerte Strom'!L43)</f>
        <v>3492.4000000000087</v>
      </c>
      <c r="N44" s="3">
        <f>SUM('Ablesewerte Strom'!N43-'Ablesewerte Strom'!M43)</f>
        <v>3199</v>
      </c>
      <c r="O44" s="3">
        <f>SUM('Ablesewerte Strom'!C61-'Ablesewerte Strom'!N43)</f>
        <v>3259.6999999999971</v>
      </c>
      <c r="Q44" s="3">
        <f>SUM(D44:O44)</f>
        <v>27634.199999999997</v>
      </c>
    </row>
    <row r="45" spans="1:18" x14ac:dyDescent="0.2">
      <c r="A45" t="s">
        <v>49</v>
      </c>
      <c r="D45" s="3">
        <f>SUM('Ablesewerte Strom'!D44-'Ablesewerte Strom'!C44)</f>
        <v>217.5</v>
      </c>
      <c r="E45" s="3">
        <f>SUM('Ablesewerte Strom'!E44-'Ablesewerte Strom'!D44)</f>
        <v>169.5</v>
      </c>
      <c r="F45" s="3">
        <f>SUM('Ablesewerte Strom'!F44-'Ablesewerte Strom'!E44)</f>
        <v>196.60000000000218</v>
      </c>
      <c r="G45" s="3">
        <f>SUM('Ablesewerte Strom'!G44-'Ablesewerte Strom'!F44)</f>
        <v>128.29999999999927</v>
      </c>
      <c r="H45" s="3">
        <f>SUM('Ablesewerte Strom'!H44-'Ablesewerte Strom'!G44)</f>
        <v>132.79999999999927</v>
      </c>
      <c r="I45" s="3">
        <f>SUM('Ablesewerte Strom'!I44-'Ablesewerte Strom'!H44)</f>
        <v>121.5</v>
      </c>
      <c r="J45" s="3">
        <f>SUM('Ablesewerte Strom'!J44-'Ablesewerte Strom'!I44)</f>
        <v>85.299999999999272</v>
      </c>
      <c r="K45" s="3">
        <f>SUM('Ablesewerte Strom'!K44-'Ablesewerte Strom'!J44)</f>
        <v>3.2000000000007276</v>
      </c>
      <c r="L45" s="3">
        <f>SUM('Ablesewerte Strom'!L44-'Ablesewerte Strom'!K44)</f>
        <v>126.90000000000146</v>
      </c>
      <c r="M45" s="3">
        <f>SUM('Ablesewerte Strom'!M44-'Ablesewerte Strom'!L44)</f>
        <v>192</v>
      </c>
      <c r="N45" s="3">
        <f>SUM('Ablesewerte Strom'!N44-'Ablesewerte Strom'!M44)</f>
        <v>222.19999999999709</v>
      </c>
      <c r="O45" s="3">
        <f>SUM('Ablesewerte Strom'!C62-'Ablesewerte Strom'!N44)</f>
        <v>186.90000000000146</v>
      </c>
      <c r="Q45" s="3">
        <f>SUM(D45:O45)</f>
        <v>1782.7000000000007</v>
      </c>
    </row>
    <row r="46" spans="1:18" x14ac:dyDescent="0.2">
      <c r="A46" t="s">
        <v>50</v>
      </c>
      <c r="D46" s="3">
        <f>SUM('Ablesewerte Strom'!D45-'Ablesewerte Strom'!C45)</f>
        <v>259.30000000000291</v>
      </c>
      <c r="E46" s="3">
        <f>SUM('Ablesewerte Strom'!E45-'Ablesewerte Strom'!D45)</f>
        <v>166.69999999999709</v>
      </c>
      <c r="F46" s="3">
        <f>SUM('Ablesewerte Strom'!F45-'Ablesewerte Strom'!E45)</f>
        <v>208.90000000000146</v>
      </c>
      <c r="G46" s="3">
        <f>SUM('Ablesewerte Strom'!G45-'Ablesewerte Strom'!F45)</f>
        <v>180.59999999999854</v>
      </c>
      <c r="H46" s="3">
        <f>SUM('Ablesewerte Strom'!H45-'Ablesewerte Strom'!G45)</f>
        <v>188.30000000000291</v>
      </c>
      <c r="I46" s="3">
        <f>SUM('Ablesewerte Strom'!I45-'Ablesewerte Strom'!H45)</f>
        <v>110.59999999999854</v>
      </c>
      <c r="J46" s="3">
        <f>SUM('Ablesewerte Strom'!J45-'Ablesewerte Strom'!I45)</f>
        <v>166.80000000000291</v>
      </c>
      <c r="K46" s="3">
        <f>SUM('Ablesewerte Strom'!K45-'Ablesewerte Strom'!J45)</f>
        <v>84.299999999995634</v>
      </c>
      <c r="L46" s="3">
        <f>SUM('Ablesewerte Strom'!L45-'Ablesewerte Strom'!K45)</f>
        <v>153.90000000000146</v>
      </c>
      <c r="M46" s="3">
        <f>SUM('Ablesewerte Strom'!M45-'Ablesewerte Strom'!L45)</f>
        <v>256.09999999999854</v>
      </c>
      <c r="N46" s="3">
        <f>SUM('Ablesewerte Strom'!N45-'Ablesewerte Strom'!M45)</f>
        <v>198.80000000000291</v>
      </c>
      <c r="O46" s="3">
        <f>SUM('Ablesewerte Strom'!C63-'Ablesewerte Strom'!N45)</f>
        <v>297</v>
      </c>
      <c r="Q46" s="3">
        <f>SUM(D46:O46)</f>
        <v>2271.3000000000029</v>
      </c>
    </row>
    <row r="47" spans="1:18" x14ac:dyDescent="0.2">
      <c r="A47" t="s">
        <v>52</v>
      </c>
      <c r="D47" s="5">
        <v>7747</v>
      </c>
      <c r="E47" s="5">
        <v>6956</v>
      </c>
      <c r="F47" s="5">
        <v>7789</v>
      </c>
      <c r="G47" s="5">
        <v>5322</v>
      </c>
      <c r="H47" s="5">
        <v>6187</v>
      </c>
      <c r="I47" s="5">
        <v>6140</v>
      </c>
      <c r="J47" s="5">
        <v>6794</v>
      </c>
      <c r="K47" s="5">
        <v>5140</v>
      </c>
      <c r="L47" s="5">
        <v>6377</v>
      </c>
      <c r="M47" s="5">
        <v>6934</v>
      </c>
      <c r="N47" s="5">
        <v>8411</v>
      </c>
      <c r="O47" s="5">
        <v>7424</v>
      </c>
    </row>
    <row r="48" spans="1:18" x14ac:dyDescent="0.2">
      <c r="D48" s="5">
        <v>1756</v>
      </c>
      <c r="E48" s="5">
        <v>1688</v>
      </c>
      <c r="F48" s="5">
        <v>1802</v>
      </c>
      <c r="G48" s="5">
        <v>1693</v>
      </c>
      <c r="H48" s="5">
        <v>1811</v>
      </c>
      <c r="I48" s="5">
        <v>1819</v>
      </c>
      <c r="J48" s="5">
        <v>1889</v>
      </c>
      <c r="K48" s="5">
        <v>1607</v>
      </c>
      <c r="L48" s="5">
        <v>1756</v>
      </c>
      <c r="M48" s="5">
        <v>1811</v>
      </c>
      <c r="N48" s="5">
        <v>1763</v>
      </c>
      <c r="O48" s="5">
        <v>1786</v>
      </c>
      <c r="Q48" s="3">
        <f>SUM(D47:O48)</f>
        <v>102402</v>
      </c>
    </row>
    <row r="49" spans="1:18" x14ac:dyDescent="0.2">
      <c r="A49" t="s">
        <v>92</v>
      </c>
      <c r="D49" s="3">
        <f>SUM('Ablesewerte Strom'!D47-'Ablesewerte Strom'!C47)</f>
        <v>53.700000000000045</v>
      </c>
      <c r="E49" s="3">
        <f>SUM('Ablesewerte Strom'!E47-'Ablesewerte Strom'!D47)</f>
        <v>44.629999999999882</v>
      </c>
      <c r="F49" s="3">
        <f>SUM('Ablesewerte Strom'!F47-'Ablesewerte Strom'!E47)</f>
        <v>53.340000000000146</v>
      </c>
      <c r="G49" s="3">
        <f>SUM('Ablesewerte Strom'!G47-'Ablesewerte Strom'!F47)</f>
        <v>37.039999999999964</v>
      </c>
      <c r="H49" s="3">
        <f>SUM('Ablesewerte Strom'!H47-'Ablesewerte Strom'!G47)</f>
        <v>43.939999999999827</v>
      </c>
      <c r="I49" s="3">
        <f>SUM('Ablesewerte Strom'!I47-'Ablesewerte Strom'!H47)</f>
        <v>46.860000000000127</v>
      </c>
      <c r="J49" s="3">
        <f>SUM('Ablesewerte Strom'!J47-'Ablesewerte Strom'!I47)</f>
        <v>86.869999999999891</v>
      </c>
      <c r="K49" s="3">
        <f>SUM('Ablesewerte Strom'!K47-'Ablesewerte Strom'!J47)</f>
        <v>11.900000000000091</v>
      </c>
      <c r="L49" s="3">
        <f>SUM('Ablesewerte Strom'!L47-'Ablesewerte Strom'!K47)</f>
        <v>43.160000000000082</v>
      </c>
      <c r="M49" s="3">
        <f>SUM('Ablesewerte Strom'!M47-'Ablesewerte Strom'!L47)</f>
        <v>55.959999999999809</v>
      </c>
      <c r="N49" s="3">
        <f>SUM('Ablesewerte Strom'!N47-'Ablesewerte Strom'!M47)</f>
        <v>50.190000000000055</v>
      </c>
      <c r="O49" s="3">
        <f>SUM('Ablesewerte Strom'!C65-'Ablesewerte Strom'!N47)</f>
        <v>47.840000000000146</v>
      </c>
    </row>
    <row r="50" spans="1:18" x14ac:dyDescent="0.2">
      <c r="A50" t="s">
        <v>93</v>
      </c>
      <c r="D50" s="3">
        <f>SUM('Ablesewerte Strom'!D48-'Ablesewerte Strom'!C48)</f>
        <v>34.790000000000077</v>
      </c>
      <c r="E50" s="3">
        <f>SUM('Ablesewerte Strom'!E48-'Ablesewerte Strom'!D48)</f>
        <v>28.25</v>
      </c>
      <c r="F50" s="3">
        <f>SUM('Ablesewerte Strom'!F48-'Ablesewerte Strom'!E48)</f>
        <v>30.669999999999959</v>
      </c>
      <c r="G50" s="3">
        <f>SUM('Ablesewerte Strom'!G48-'Ablesewerte Strom'!F48)</f>
        <v>17.090000000000032</v>
      </c>
      <c r="H50" s="3">
        <f>SUM('Ablesewerte Strom'!H48-'Ablesewerte Strom'!G48)</f>
        <v>20.92999999999995</v>
      </c>
      <c r="I50" s="3">
        <f>SUM('Ablesewerte Strom'!I48-'Ablesewerte Strom'!H48)</f>
        <v>20.279999999999973</v>
      </c>
      <c r="J50" s="3">
        <f>SUM('Ablesewerte Strom'!J48-'Ablesewerte Strom'!I48)</f>
        <v>26.290000000000077</v>
      </c>
      <c r="K50" s="3">
        <f>SUM('Ablesewerte Strom'!K48-'Ablesewerte Strom'!J48)</f>
        <v>4.7199999999999136</v>
      </c>
      <c r="L50" s="3">
        <f>SUM('Ablesewerte Strom'!L48-'Ablesewerte Strom'!K48)</f>
        <v>19.980000000000018</v>
      </c>
      <c r="M50" s="3">
        <f>SUM('Ablesewerte Strom'!M48-'Ablesewerte Strom'!L48)</f>
        <v>28.410000000000082</v>
      </c>
      <c r="N50" s="3">
        <f>SUM('Ablesewerte Strom'!N48-'Ablesewerte Strom'!M48)</f>
        <v>30.549999999999955</v>
      </c>
      <c r="O50" s="3">
        <f>SUM('Ablesewerte Strom'!C66-'Ablesewerte Strom'!N48)</f>
        <v>28.350000000000023</v>
      </c>
    </row>
    <row r="51" spans="1:18" x14ac:dyDescent="0.2">
      <c r="A51" t="s">
        <v>94</v>
      </c>
      <c r="D51" s="3">
        <f>SUM('Ablesewerte Strom'!D49-'Ablesewerte Strom'!C49)</f>
        <v>1000.7999999999993</v>
      </c>
      <c r="E51" s="3">
        <f>SUM('Ablesewerte Strom'!E49-'Ablesewerte Strom'!D49)</f>
        <v>769.29999999999927</v>
      </c>
      <c r="F51" s="3">
        <f>SUM('Ablesewerte Strom'!F49-'Ablesewerte Strom'!E49)</f>
        <v>733.29999999999927</v>
      </c>
      <c r="G51" s="3">
        <f>SUM('Ablesewerte Strom'!G49-'Ablesewerte Strom'!F49)</f>
        <v>456.30000000000291</v>
      </c>
      <c r="H51" s="3">
        <f>SUM('Ablesewerte Strom'!H49-'Ablesewerte Strom'!G49)</f>
        <v>583.69999999999709</v>
      </c>
      <c r="I51" s="3">
        <f>SUM('Ablesewerte Strom'!I49-'Ablesewerte Strom'!H49)</f>
        <v>479.30000000000291</v>
      </c>
      <c r="J51" s="3">
        <f>SUM('Ablesewerte Strom'!J49-'Ablesewerte Strom'!I49)</f>
        <v>688.59999999999854</v>
      </c>
      <c r="K51" s="3">
        <f>SUM('Ablesewerte Strom'!K49-'Ablesewerte Strom'!J49)</f>
        <v>182.20000000000073</v>
      </c>
      <c r="L51" s="3">
        <f>SUM('Ablesewerte Strom'!L49-'Ablesewerte Strom'!K49)</f>
        <v>697.5</v>
      </c>
      <c r="M51" s="3">
        <f>SUM('Ablesewerte Strom'!M49-'Ablesewerte Strom'!L49)</f>
        <v>955.70000000000073</v>
      </c>
      <c r="N51" s="3">
        <f>SUM('Ablesewerte Strom'!N49-'Ablesewerte Strom'!M49)</f>
        <v>1170.4000000000015</v>
      </c>
      <c r="O51" s="3">
        <f>SUM('Ablesewerte Strom'!C67-'Ablesewerte Strom'!N49)</f>
        <v>1041.5999999999985</v>
      </c>
    </row>
    <row r="52" spans="1:18" x14ac:dyDescent="0.2">
      <c r="A52" t="s">
        <v>95</v>
      </c>
      <c r="D52" s="4">
        <f>SUM('Ablesewerte Strom'!D50-'Ablesewerte Strom'!C50)</f>
        <v>0</v>
      </c>
      <c r="E52" s="4">
        <f>SUM('Ablesewerte Strom'!E50-'Ablesewerte Strom'!D50)</f>
        <v>0</v>
      </c>
      <c r="F52" s="4">
        <f>SUM('Ablesewerte Strom'!F50-'Ablesewerte Strom'!E50)</f>
        <v>0</v>
      </c>
      <c r="G52" s="4">
        <f>SUM('Ablesewerte Strom'!G50-'Ablesewerte Strom'!F50)</f>
        <v>0</v>
      </c>
      <c r="H52" s="4">
        <f>SUM('Ablesewerte Strom'!H50-'Ablesewerte Strom'!G50)</f>
        <v>0</v>
      </c>
      <c r="I52" s="4">
        <f>SUM('Ablesewerte Strom'!I50-'Ablesewerte Strom'!H50)</f>
        <v>0</v>
      </c>
      <c r="J52" s="4">
        <f>SUM('Ablesewerte Strom'!J50-'Ablesewerte Strom'!I50)</f>
        <v>0</v>
      </c>
      <c r="K52" s="4">
        <f>SUM('Ablesewerte Strom'!K50-'Ablesewerte Strom'!J50)</f>
        <v>0</v>
      </c>
      <c r="L52" s="4">
        <f>SUM('Ablesewerte Strom'!L50-'Ablesewerte Strom'!K50)</f>
        <v>0</v>
      </c>
      <c r="M52" s="4">
        <f>SUM('Ablesewerte Strom'!M50-'Ablesewerte Strom'!L50)</f>
        <v>0</v>
      </c>
      <c r="N52" s="4">
        <f>SUM('Ablesewerte Strom'!N50-'Ablesewerte Strom'!M50)</f>
        <v>0</v>
      </c>
      <c r="O52" s="4">
        <f>SUM('Ablesewerte Strom'!C68-'Ablesewerte Strom'!N50)</f>
        <v>0</v>
      </c>
    </row>
    <row r="53" spans="1:18" x14ac:dyDescent="0.2">
      <c r="A53" t="s">
        <v>96</v>
      </c>
      <c r="D53" s="3">
        <f>SUM('Ablesewerte Strom'!D51-'Ablesewerte Strom'!C51)</f>
        <v>3.7000000000000455</v>
      </c>
      <c r="E53" s="3">
        <f>SUM('Ablesewerte Strom'!E51-'Ablesewerte Strom'!D51)</f>
        <v>1.1999999999998181</v>
      </c>
      <c r="F53" s="3">
        <f>SUM('Ablesewerte Strom'!F51-'Ablesewerte Strom'!E51)</f>
        <v>0.8000000000001819</v>
      </c>
      <c r="G53" s="3">
        <f>SUM('Ablesewerte Strom'!G51-'Ablesewerte Strom'!F51)</f>
        <v>3.0999999999999091</v>
      </c>
      <c r="H53" s="3">
        <f>SUM('Ablesewerte Strom'!H51-'Ablesewerte Strom'!G51)</f>
        <v>0.40000000000009095</v>
      </c>
      <c r="I53" s="3">
        <f>SUM('Ablesewerte Strom'!I51-'Ablesewerte Strom'!H51)</f>
        <v>0.79999999999995453</v>
      </c>
      <c r="J53" s="3">
        <f>SUM('Ablesewerte Strom'!J51-'Ablesewerte Strom'!I51)</f>
        <v>0.39999999999986358</v>
      </c>
      <c r="K53" s="3">
        <f>SUM('Ablesewerte Strom'!K51-'Ablesewerte Strom'!J51)</f>
        <v>1</v>
      </c>
      <c r="L53" s="3">
        <f>SUM('Ablesewerte Strom'!L51-'Ablesewerte Strom'!K51)</f>
        <v>3.4000000000000909</v>
      </c>
      <c r="M53" s="3">
        <f>SUM('Ablesewerte Strom'!M51-'Ablesewerte Strom'!L51)</f>
        <v>1.0999999999999091</v>
      </c>
      <c r="N53" s="3">
        <f>SUM('Ablesewerte Strom'!N51-'Ablesewerte Strom'!M51)</f>
        <v>2.2000000000000455</v>
      </c>
      <c r="O53" s="3">
        <f>SUM('Ablesewerte Strom'!C69-'Ablesewerte Strom'!N51)</f>
        <v>0.70000000000004547</v>
      </c>
    </row>
    <row r="54" spans="1:18" x14ac:dyDescent="0.2">
      <c r="A54" t="s">
        <v>53</v>
      </c>
      <c r="D54" s="5" t="s">
        <v>35</v>
      </c>
      <c r="E54" s="5" t="s">
        <v>35</v>
      </c>
      <c r="F54" s="5" t="s">
        <v>35</v>
      </c>
      <c r="G54" s="5" t="s">
        <v>35</v>
      </c>
      <c r="H54" s="5" t="s">
        <v>35</v>
      </c>
      <c r="I54" s="5" t="s">
        <v>35</v>
      </c>
      <c r="J54" s="5" t="s">
        <v>35</v>
      </c>
      <c r="K54" s="5" t="s">
        <v>35</v>
      </c>
      <c r="L54" s="5" t="s">
        <v>35</v>
      </c>
      <c r="M54" s="5" t="s">
        <v>35</v>
      </c>
      <c r="N54" s="5" t="s">
        <v>35</v>
      </c>
      <c r="O54" s="5">
        <v>31523</v>
      </c>
    </row>
    <row r="55" spans="1:18" x14ac:dyDescent="0.2"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8110</v>
      </c>
      <c r="Q55" s="3">
        <f>SUM(D54:O55)</f>
        <v>39633</v>
      </c>
    </row>
    <row r="56" spans="1:18" x14ac:dyDescent="0.2">
      <c r="A56" t="s">
        <v>97</v>
      </c>
      <c r="D56" s="3">
        <f>SUM('Ablesewerte Strom'!D53-'Ablesewerte Strom'!C53)</f>
        <v>1246.6999999999971</v>
      </c>
      <c r="E56" s="3">
        <f>SUM('Ablesewerte Strom'!E53-'Ablesewerte Strom'!D53)</f>
        <v>1050.8000000000029</v>
      </c>
      <c r="F56" s="3">
        <f>SUM('Ablesewerte Strom'!F53-'Ablesewerte Strom'!E53)</f>
        <v>1185.0999999999985</v>
      </c>
      <c r="G56" s="3">
        <f>SUM('Ablesewerte Strom'!G53-'Ablesewerte Strom'!F53)</f>
        <v>960.90000000000146</v>
      </c>
      <c r="H56" s="3">
        <f>SUM('Ablesewerte Strom'!H53-'Ablesewerte Strom'!G53)</f>
        <v>1336.2999999999993</v>
      </c>
      <c r="I56" s="3">
        <f>SUM('Ablesewerte Strom'!I53-'Ablesewerte Strom'!H53)</f>
        <v>1011.3999999999978</v>
      </c>
      <c r="J56" s="3">
        <f>SUM('Ablesewerte Strom'!J53-'Ablesewerte Strom'!I53)</f>
        <v>1121.1000000000022</v>
      </c>
      <c r="K56" s="3">
        <f>SUM('Ablesewerte Strom'!K53-'Ablesewerte Strom'!J53)</f>
        <v>320.5</v>
      </c>
      <c r="L56" s="3">
        <f>SUM('Ablesewerte Strom'!L53-'Ablesewerte Strom'!K53)</f>
        <v>818.29999999999927</v>
      </c>
      <c r="M56" s="3">
        <f>SUM('Ablesewerte Strom'!M53-'Ablesewerte Strom'!L53)</f>
        <v>1394.7000000000007</v>
      </c>
      <c r="N56" s="3">
        <f>SUM('Ablesewerte Strom'!N53-'Ablesewerte Strom'!M53)</f>
        <v>1016.7000000000007</v>
      </c>
      <c r="O56" s="3">
        <f>SUM('Ablesewerte Strom'!C71-'Ablesewerte Strom'!N53)</f>
        <v>1318.4000000000015</v>
      </c>
      <c r="Q56" t="s">
        <v>100</v>
      </c>
      <c r="R56" s="20">
        <f>SUM(Q43:Q55)</f>
        <v>213619.09999999998</v>
      </c>
    </row>
    <row r="59" spans="1:18" x14ac:dyDescent="0.2">
      <c r="A59" t="s">
        <v>98</v>
      </c>
    </row>
    <row r="60" spans="1:18" x14ac:dyDescent="0.2">
      <c r="A60" t="s">
        <v>99</v>
      </c>
    </row>
    <row r="63" spans="1:18" ht="15.75" x14ac:dyDescent="0.25">
      <c r="A63" s="1">
        <v>2008</v>
      </c>
    </row>
    <row r="64" spans="1:18" ht="15.75" x14ac:dyDescent="0.25">
      <c r="A64" s="1" t="s">
        <v>47</v>
      </c>
      <c r="D64" s="6" t="s">
        <v>6</v>
      </c>
      <c r="E64" s="6" t="s">
        <v>7</v>
      </c>
      <c r="F64" s="6" t="s">
        <v>8</v>
      </c>
      <c r="G64" s="6" t="s">
        <v>9</v>
      </c>
      <c r="H64" s="6" t="s">
        <v>10</v>
      </c>
      <c r="I64" s="6" t="s">
        <v>11</v>
      </c>
      <c r="J64" s="6" t="s">
        <v>12</v>
      </c>
      <c r="K64" s="6" t="s">
        <v>13</v>
      </c>
      <c r="L64" s="6" t="s">
        <v>14</v>
      </c>
      <c r="M64" s="6" t="s">
        <v>15</v>
      </c>
      <c r="N64" s="6" t="s">
        <v>16</v>
      </c>
      <c r="O64" s="6" t="s">
        <v>17</v>
      </c>
    </row>
    <row r="66" spans="1:19" x14ac:dyDescent="0.2">
      <c r="A66" t="s">
        <v>48</v>
      </c>
      <c r="D66" s="3">
        <f>SUM('Ablesewerte Strom'!D60-'Ablesewerte Strom'!C60)</f>
        <v>3887.8000000000175</v>
      </c>
      <c r="E66" s="3">
        <f>SUM('Ablesewerte Strom'!E60-'Ablesewerte Strom'!D60)</f>
        <v>3814</v>
      </c>
      <c r="F66" s="3">
        <f>SUM('Ablesewerte Strom'!F60-'Ablesewerte Strom'!E60)</f>
        <v>2980.5</v>
      </c>
      <c r="G66" s="3">
        <f>SUM('Ablesewerte Strom'!G60-'Ablesewerte Strom'!F60)</f>
        <v>4143.6999999999825</v>
      </c>
      <c r="H66" s="3">
        <f>SUM('Ablesewerte Strom'!H60-'Ablesewerte Strom'!G60)</f>
        <v>2471.8999999999942</v>
      </c>
      <c r="I66" s="3">
        <f>SUM('Ablesewerte Strom'!I60-'Ablesewerte Strom'!H60)</f>
        <v>2812.3000000000175</v>
      </c>
      <c r="J66" s="3">
        <f>SUM('Ablesewerte Strom'!J60-'Ablesewerte Strom'!I60)</f>
        <v>2675.6999999999825</v>
      </c>
      <c r="K66" s="3">
        <f>SUM('Ablesewerte Strom'!K60-'Ablesewerte Strom'!J60)</f>
        <v>1118.6000000000058</v>
      </c>
      <c r="L66" s="3">
        <f>SUM('Ablesewerte Strom'!L60-'Ablesewerte Strom'!K60)</f>
        <v>2789.8999999999942</v>
      </c>
      <c r="M66" s="3">
        <f>SUM('Ablesewerte Strom'!M60-'Ablesewerte Strom'!L60)</f>
        <v>3007.2000000000116</v>
      </c>
      <c r="N66" s="3">
        <f>SUM('Ablesewerte Strom'!N60-'Ablesewerte Strom'!M60)</f>
        <v>3871</v>
      </c>
      <c r="O66" s="3">
        <f>SUM('Ablesewerte Strom'!O60-'Ablesewerte Strom'!N60)</f>
        <v>2587.2999999999884</v>
      </c>
      <c r="Q66" s="3">
        <f>SUM(D66:O66)</f>
        <v>36159.899999999994</v>
      </c>
    </row>
    <row r="67" spans="1:19" x14ac:dyDescent="0.2">
      <c r="A67" t="s">
        <v>60</v>
      </c>
      <c r="D67" s="3">
        <f>SUM('Ablesewerte Strom'!D61-'Ablesewerte Strom'!C61)</f>
        <v>2663.8999999999942</v>
      </c>
      <c r="E67" s="3">
        <f>SUM('Ablesewerte Strom'!E61-'Ablesewerte Strom'!D61)</f>
        <v>2724.3000000000029</v>
      </c>
      <c r="F67" s="3">
        <f>SUM('Ablesewerte Strom'!F61-'Ablesewerte Strom'!E61)</f>
        <v>2103</v>
      </c>
      <c r="G67" s="3">
        <f>SUM('Ablesewerte Strom'!G61-'Ablesewerte Strom'!F61)</f>
        <v>2842.1000000000058</v>
      </c>
      <c r="H67" s="3">
        <f>SUM('Ablesewerte Strom'!H61-'Ablesewerte Strom'!G61)</f>
        <v>1571.8999999999942</v>
      </c>
      <c r="I67" s="3">
        <f>SUM('Ablesewerte Strom'!I61-'Ablesewerte Strom'!H61)</f>
        <v>1622.8000000000029</v>
      </c>
      <c r="J67" s="3">
        <f>SUM('Ablesewerte Strom'!J61-'Ablesewerte Strom'!I61)</f>
        <v>1571.6000000000058</v>
      </c>
      <c r="K67" s="3">
        <f>SUM('Ablesewerte Strom'!K61-'Ablesewerte Strom'!J61)</f>
        <v>672.39999999999418</v>
      </c>
      <c r="L67" s="3">
        <f>SUM('Ablesewerte Strom'!L61-'Ablesewerte Strom'!K61)</f>
        <v>1600.3999999999942</v>
      </c>
      <c r="M67" s="3">
        <f>SUM('Ablesewerte Strom'!M61-'Ablesewerte Strom'!L61)</f>
        <v>1906.9000000000087</v>
      </c>
      <c r="N67" s="3">
        <f>SUM('Ablesewerte Strom'!N61-'Ablesewerte Strom'!M61)</f>
        <v>2500</v>
      </c>
      <c r="O67" s="3">
        <f>SUM('Ablesewerte Strom'!O61-'Ablesewerte Strom'!N61)</f>
        <v>1624.3999999999942</v>
      </c>
      <c r="Q67" s="3">
        <f>SUM(D67:O67)</f>
        <v>23403.699999999997</v>
      </c>
      <c r="S67" s="3">
        <f>Q66-Q67</f>
        <v>12756.199999999997</v>
      </c>
    </row>
    <row r="68" spans="1:19" x14ac:dyDescent="0.2">
      <c r="A68" t="s">
        <v>49</v>
      </c>
      <c r="D68" s="3">
        <f>SUM('Ablesewerte Strom'!D62-'Ablesewerte Strom'!C62)</f>
        <v>213.30000000000291</v>
      </c>
      <c r="E68" s="3">
        <f>SUM('Ablesewerte Strom'!E62-'Ablesewerte Strom'!D62)</f>
        <v>161</v>
      </c>
      <c r="F68" s="3">
        <f>SUM('Ablesewerte Strom'!F62-'Ablesewerte Strom'!E62)</f>
        <v>94.299999999995634</v>
      </c>
      <c r="G68" s="3">
        <f>SUM('Ablesewerte Strom'!G62-'Ablesewerte Strom'!F62)</f>
        <v>120.5</v>
      </c>
      <c r="H68" s="3">
        <f>SUM('Ablesewerte Strom'!H62-'Ablesewerte Strom'!G62)</f>
        <v>72.900000000001455</v>
      </c>
      <c r="I68" s="3">
        <f>SUM('Ablesewerte Strom'!I62-'Ablesewerte Strom'!H62)</f>
        <v>80.80000000000291</v>
      </c>
      <c r="J68" s="3">
        <f>SUM('Ablesewerte Strom'!J62-'Ablesewerte Strom'!I62)</f>
        <v>59.399999999994179</v>
      </c>
      <c r="K68" s="3">
        <f>SUM('Ablesewerte Strom'!K62-'Ablesewerte Strom'!J62)</f>
        <v>25.5</v>
      </c>
      <c r="L68" s="3">
        <f>SUM('Ablesewerte Strom'!L62-'Ablesewerte Strom'!K62)</f>
        <v>128.20000000000437</v>
      </c>
      <c r="M68" s="3">
        <f>SUM('Ablesewerte Strom'!M62-'Ablesewerte Strom'!L62)</f>
        <v>115.19999999999709</v>
      </c>
      <c r="N68" s="3">
        <f>SUM('Ablesewerte Strom'!N62-'Ablesewerte Strom'!M62)</f>
        <v>162.80000000000291</v>
      </c>
      <c r="O68" s="3">
        <f>SUM('Ablesewerte Strom'!O62-'Ablesewerte Strom'!N62)</f>
        <v>106.90000000000146</v>
      </c>
      <c r="Q68" s="3">
        <f>SUM(D68:O68)</f>
        <v>1340.8000000000029</v>
      </c>
    </row>
    <row r="69" spans="1:19" x14ac:dyDescent="0.2">
      <c r="A69" t="s">
        <v>50</v>
      </c>
      <c r="D69" s="3">
        <f>SUM('Ablesewerte Strom'!D63-'Ablesewerte Strom'!C63)</f>
        <v>209.90000000000146</v>
      </c>
      <c r="E69" s="3">
        <f>SUM('Ablesewerte Strom'!E63-'Ablesewerte Strom'!D63)</f>
        <v>260.69999999999709</v>
      </c>
      <c r="F69" s="3">
        <f>SUM('Ablesewerte Strom'!F63-'Ablesewerte Strom'!E63)</f>
        <v>215.90000000000146</v>
      </c>
      <c r="G69" s="3">
        <f>SUM('Ablesewerte Strom'!G63-'Ablesewerte Strom'!F63)</f>
        <v>246.69999999999709</v>
      </c>
      <c r="H69" s="3">
        <f>SUM('Ablesewerte Strom'!H63-'Ablesewerte Strom'!G63)</f>
        <v>268.40000000000146</v>
      </c>
      <c r="I69" s="3">
        <f>SUM('Ablesewerte Strom'!I63-'Ablesewerte Strom'!H63)</f>
        <v>173.80000000000291</v>
      </c>
      <c r="J69" s="3">
        <f>SUM('Ablesewerte Strom'!J63-'Ablesewerte Strom'!I63)</f>
        <v>203.69999999999709</v>
      </c>
      <c r="K69" s="3">
        <f>SUM('Ablesewerte Strom'!K63-'Ablesewerte Strom'!J63)</f>
        <v>172.40000000000146</v>
      </c>
      <c r="L69" s="3">
        <f>SUM('Ablesewerte Strom'!L63-'Ablesewerte Strom'!K63)</f>
        <v>186.40000000000146</v>
      </c>
      <c r="M69" s="3">
        <f>SUM('Ablesewerte Strom'!M63-'Ablesewerte Strom'!L63)</f>
        <v>214.40000000000146</v>
      </c>
      <c r="N69" s="3">
        <f>SUM('Ablesewerte Strom'!N63-'Ablesewerte Strom'!M63)</f>
        <v>200.09999999999854</v>
      </c>
      <c r="O69" s="3">
        <f>SUM('Ablesewerte Strom'!O63-'Ablesewerte Strom'!N63)</f>
        <v>151</v>
      </c>
      <c r="Q69" s="3">
        <f>SUM(D69:O69)</f>
        <v>2503.4000000000015</v>
      </c>
    </row>
    <row r="70" spans="1:19" x14ac:dyDescent="0.2">
      <c r="A70" t="s">
        <v>52</v>
      </c>
      <c r="D70" s="5">
        <v>8160</v>
      </c>
      <c r="E70" s="5">
        <v>6780</v>
      </c>
      <c r="F70" s="5">
        <v>5996</v>
      </c>
      <c r="G70" s="5">
        <v>8750</v>
      </c>
      <c r="H70" s="5">
        <v>5483</v>
      </c>
      <c r="I70" s="5">
        <v>7982</v>
      </c>
      <c r="J70" s="5">
        <v>6725</v>
      </c>
      <c r="K70" s="5">
        <v>5927</v>
      </c>
      <c r="L70" s="5">
        <v>7421</v>
      </c>
      <c r="M70" s="5">
        <v>7688</v>
      </c>
      <c r="N70" s="5">
        <v>8766</v>
      </c>
      <c r="O70" s="5">
        <v>7440</v>
      </c>
      <c r="S70" s="3" t="s">
        <v>35</v>
      </c>
    </row>
    <row r="71" spans="1:19" x14ac:dyDescent="0.2">
      <c r="D71" s="5">
        <v>1783</v>
      </c>
      <c r="E71" s="5">
        <v>1692</v>
      </c>
      <c r="F71" s="5">
        <v>1738</v>
      </c>
      <c r="G71" s="5">
        <v>1789</v>
      </c>
      <c r="H71" s="5">
        <v>1813</v>
      </c>
      <c r="I71" s="5">
        <v>1982</v>
      </c>
      <c r="J71" s="5">
        <v>1954</v>
      </c>
      <c r="K71" s="5">
        <v>1812</v>
      </c>
      <c r="L71" s="5">
        <v>1744</v>
      </c>
      <c r="M71" s="5">
        <v>1661</v>
      </c>
      <c r="N71" s="5">
        <v>1510</v>
      </c>
      <c r="O71" s="5">
        <v>1423</v>
      </c>
      <c r="Q71" s="3">
        <f>SUM(D70:O71)</f>
        <v>108019</v>
      </c>
      <c r="S71" s="3" t="s">
        <v>35</v>
      </c>
    </row>
    <row r="72" spans="1:19" x14ac:dyDescent="0.2">
      <c r="A72" t="s">
        <v>92</v>
      </c>
      <c r="D72" s="3">
        <f>SUM('Ablesewerte Strom'!D65-'Ablesewerte Strom'!C65)</f>
        <v>47.639999999999873</v>
      </c>
      <c r="E72" s="3">
        <f>SUM('Ablesewerte Strom'!E65-'Ablesewerte Strom'!D65)</f>
        <v>46.350000000000136</v>
      </c>
      <c r="F72" s="3">
        <f>SUM('Ablesewerte Strom'!F65-'Ablesewerte Strom'!E65)</f>
        <v>38.179999999999836</v>
      </c>
      <c r="G72" s="3">
        <f>SUM('Ablesewerte Strom'!G65-'Ablesewerte Strom'!F65)</f>
        <v>67.380000000000109</v>
      </c>
      <c r="H72" s="3">
        <f>SUM('Ablesewerte Strom'!H65-'Ablesewerte Strom'!G65)</f>
        <v>47</v>
      </c>
      <c r="I72" s="3">
        <f>SUM('Ablesewerte Strom'!I65-'Ablesewerte Strom'!H65)</f>
        <v>73.669999999999845</v>
      </c>
      <c r="J72" s="3">
        <f>SUM('Ablesewerte Strom'!J65-'Ablesewerte Strom'!I65)</f>
        <v>63.559999999999945</v>
      </c>
      <c r="K72" s="3">
        <f>SUM('Ablesewerte Strom'!K65-'Ablesewerte Strom'!J65)</f>
        <v>48.990000000000236</v>
      </c>
      <c r="L72" s="3">
        <f>SUM('Ablesewerte Strom'!L65-'Ablesewerte Strom'!K65)</f>
        <v>58.639999999999873</v>
      </c>
      <c r="M72" s="3">
        <f>SUM('Ablesewerte Strom'!M65-'Ablesewerte Strom'!L65)</f>
        <v>60.170000000000073</v>
      </c>
      <c r="N72" s="3">
        <f>SUM('Ablesewerte Strom'!N65-'Ablesewerte Strom'!M65)</f>
        <v>67.960000000000036</v>
      </c>
      <c r="O72" s="3">
        <f>SUM('Ablesewerte Strom'!O65-'Ablesewerte Strom'!N65)</f>
        <v>45.139999999999873</v>
      </c>
    </row>
    <row r="73" spans="1:19" x14ac:dyDescent="0.2">
      <c r="A73" t="s">
        <v>93</v>
      </c>
      <c r="D73" s="3">
        <f>SUM('Ablesewerte Strom'!D66-'Ablesewerte Strom'!C66)</f>
        <v>28.079999999999927</v>
      </c>
      <c r="E73" s="3">
        <f>SUM('Ablesewerte Strom'!E66-'Ablesewerte Strom'!D66)</f>
        <v>27.170000000000073</v>
      </c>
      <c r="F73" s="3">
        <f>SUM('Ablesewerte Strom'!F66-'Ablesewerte Strom'!E66)</f>
        <v>20.100000000000023</v>
      </c>
      <c r="G73" s="3">
        <f>SUM('Ablesewerte Strom'!G66-'Ablesewerte Strom'!F66)</f>
        <v>28.349999999999909</v>
      </c>
      <c r="H73" s="3">
        <f>SUM('Ablesewerte Strom'!H66-'Ablesewerte Strom'!G66)</f>
        <v>17.880000000000109</v>
      </c>
      <c r="I73" s="3">
        <f>SUM('Ablesewerte Strom'!I66-'Ablesewerte Strom'!H66)</f>
        <v>23.509999999999991</v>
      </c>
      <c r="J73" s="3">
        <f>SUM('Ablesewerte Strom'!J66-'Ablesewerte Strom'!I66)</f>
        <v>22.759999999999991</v>
      </c>
      <c r="K73" s="3">
        <f>SUM('Ablesewerte Strom'!K66-'Ablesewerte Strom'!J66)</f>
        <v>15.069999999999936</v>
      </c>
      <c r="L73" s="3">
        <f>SUM('Ablesewerte Strom'!L66-'Ablesewerte Strom'!K66)</f>
        <v>22.759999999999991</v>
      </c>
      <c r="M73" s="3">
        <f>SUM('Ablesewerte Strom'!M66-'Ablesewerte Strom'!L66)</f>
        <v>26.25</v>
      </c>
      <c r="N73" s="3">
        <f>SUM('Ablesewerte Strom'!N66-'Ablesewerte Strom'!M66)</f>
        <v>33.360000000000127</v>
      </c>
      <c r="O73" s="3">
        <f>SUM('Ablesewerte Strom'!O66-'Ablesewerte Strom'!N66)</f>
        <v>23.689999999999827</v>
      </c>
    </row>
    <row r="74" spans="1:19" x14ac:dyDescent="0.2">
      <c r="A74" t="s">
        <v>94</v>
      </c>
      <c r="D74" s="3">
        <f>SUM('Ablesewerte Strom'!D67-'Ablesewerte Strom'!C67)</f>
        <v>1171.0999999999985</v>
      </c>
      <c r="E74" s="3">
        <f>SUM('Ablesewerte Strom'!E67-'Ablesewerte Strom'!D67)</f>
        <v>960.30000000000291</v>
      </c>
      <c r="F74" s="3">
        <f>SUM('Ablesewerte Strom'!F67-'Ablesewerte Strom'!E67)</f>
        <v>746.5</v>
      </c>
      <c r="G74" s="3">
        <f>SUM('Ablesewerte Strom'!G67-'Ablesewerte Strom'!F67)</f>
        <v>1055.5999999999985</v>
      </c>
      <c r="H74" s="3">
        <f>SUM('Ablesewerte Strom'!H67-'Ablesewerte Strom'!G67)</f>
        <v>541.5</v>
      </c>
      <c r="I74" s="3">
        <f>SUM('Ablesewerte Strom'!I67-'Ablesewerte Strom'!H67)</f>
        <v>663.59999999999854</v>
      </c>
      <c r="J74" s="3">
        <f>SUM('Ablesewerte Strom'!J67-'Ablesewerte Strom'!I67)</f>
        <v>486.19999999999709</v>
      </c>
      <c r="K74" s="3">
        <f>SUM('Ablesewerte Strom'!K67-'Ablesewerte Strom'!J67)</f>
        <v>317.5</v>
      </c>
      <c r="L74" s="3">
        <f>SUM('Ablesewerte Strom'!L67-'Ablesewerte Strom'!K67)</f>
        <v>831.40000000000146</v>
      </c>
      <c r="M74" s="3">
        <f>SUM('Ablesewerte Strom'!M67-'Ablesewerte Strom'!L67)</f>
        <v>1050.0999999999985</v>
      </c>
      <c r="N74" s="3">
        <f>SUM('Ablesewerte Strom'!N67-'Ablesewerte Strom'!M67)</f>
        <v>1244.2000000000044</v>
      </c>
      <c r="O74" s="3">
        <f>SUM('Ablesewerte Strom'!O67-'Ablesewerte Strom'!N67)</f>
        <v>867</v>
      </c>
      <c r="P74" s="3">
        <f>SUM(D74:O74)</f>
        <v>9935</v>
      </c>
      <c r="S74" s="3">
        <f>Q71-P74</f>
        <v>98084</v>
      </c>
    </row>
    <row r="75" spans="1:19" x14ac:dyDescent="0.2">
      <c r="A75" t="s">
        <v>95</v>
      </c>
      <c r="D75" s="3">
        <f>SUM('Ablesewerte Strom'!D68-'Ablesewerte Strom'!C68)</f>
        <v>0</v>
      </c>
      <c r="E75" s="3">
        <f>SUM('Ablesewerte Strom'!E68-'Ablesewerte Strom'!D68)</f>
        <v>0</v>
      </c>
      <c r="F75" s="3">
        <f>SUM('Ablesewerte Strom'!F68-'Ablesewerte Strom'!E68)</f>
        <v>0</v>
      </c>
      <c r="G75" s="3">
        <f>SUM('Ablesewerte Strom'!G68-'Ablesewerte Strom'!F68)</f>
        <v>0</v>
      </c>
      <c r="H75" s="3">
        <f>SUM('Ablesewerte Strom'!H68-'Ablesewerte Strom'!G68)</f>
        <v>0</v>
      </c>
      <c r="I75" s="3">
        <f>SUM('Ablesewerte Strom'!I68-'Ablesewerte Strom'!H68)</f>
        <v>0</v>
      </c>
      <c r="J75" s="3">
        <f>SUM('Ablesewerte Strom'!J68-'Ablesewerte Strom'!I68)</f>
        <v>0</v>
      </c>
      <c r="K75" s="3">
        <f>SUM('Ablesewerte Strom'!K68-'Ablesewerte Strom'!J68)</f>
        <v>0</v>
      </c>
      <c r="L75" s="3">
        <f>SUM('Ablesewerte Strom'!L68-'Ablesewerte Strom'!K68)</f>
        <v>0</v>
      </c>
      <c r="M75" s="3">
        <f>SUM('Ablesewerte Strom'!M68-'Ablesewerte Strom'!L68)</f>
        <v>0</v>
      </c>
      <c r="N75" s="3">
        <f>SUM('Ablesewerte Strom'!N68-'Ablesewerte Strom'!M68)</f>
        <v>0</v>
      </c>
      <c r="O75" s="3">
        <f>SUM('Ablesewerte Strom'!O68-'Ablesewerte Strom'!N68)</f>
        <v>0</v>
      </c>
    </row>
    <row r="76" spans="1:19" x14ac:dyDescent="0.2">
      <c r="A76" t="s">
        <v>96</v>
      </c>
      <c r="D76" s="3">
        <f>SUM('Ablesewerte Strom'!D69-'Ablesewerte Strom'!C69)</f>
        <v>55.599999999999909</v>
      </c>
      <c r="E76" s="3">
        <f>SUM('Ablesewerte Strom'!E69-'Ablesewerte Strom'!D69)</f>
        <v>11.900000000000091</v>
      </c>
      <c r="F76" s="3">
        <f>SUM('Ablesewerte Strom'!F69-'Ablesewerte Strom'!E69)</f>
        <v>8.2000000000000455</v>
      </c>
      <c r="G76" s="3">
        <f>SUM('Ablesewerte Strom'!G69-'Ablesewerte Strom'!F69)</f>
        <v>1.2000000000000455</v>
      </c>
      <c r="H76" s="3">
        <f>SUM('Ablesewerte Strom'!H69-'Ablesewerte Strom'!G69)</f>
        <v>2.1999999999998181</v>
      </c>
      <c r="I76" s="3">
        <f>SUM('Ablesewerte Strom'!I69-'Ablesewerte Strom'!H69)</f>
        <v>1.3000000000001819</v>
      </c>
      <c r="J76" s="3">
        <f>SUM('Ablesewerte Strom'!J69-'Ablesewerte Strom'!I69)</f>
        <v>1.5999999999999091</v>
      </c>
      <c r="K76" s="3">
        <f>SUM('Ablesewerte Strom'!K69-'Ablesewerte Strom'!J69)</f>
        <v>0.29999999999995453</v>
      </c>
      <c r="L76" s="3">
        <f>SUM('Ablesewerte Strom'!L69-'Ablesewerte Strom'!K69)</f>
        <v>0.60000000000013642</v>
      </c>
      <c r="M76" s="3">
        <f>SUM('Ablesewerte Strom'!M69-'Ablesewerte Strom'!L69)</f>
        <v>2.8999999999998636</v>
      </c>
      <c r="N76" s="3">
        <f>SUM('Ablesewerte Strom'!N69-'Ablesewerte Strom'!M69)</f>
        <v>1.2000000000000455</v>
      </c>
      <c r="O76" s="3">
        <f>SUM('Ablesewerte Strom'!O69-'Ablesewerte Strom'!N69)</f>
        <v>0.5</v>
      </c>
    </row>
    <row r="77" spans="1:19" x14ac:dyDescent="0.2">
      <c r="A77" t="s">
        <v>53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30816</v>
      </c>
    </row>
    <row r="78" spans="1:19" x14ac:dyDescent="0.2"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7765</v>
      </c>
      <c r="Q78" s="3">
        <f>SUM(D77:O78)</f>
        <v>38581</v>
      </c>
    </row>
    <row r="79" spans="1:19" x14ac:dyDescent="0.2">
      <c r="A79" t="s">
        <v>97</v>
      </c>
      <c r="D79" s="3">
        <f>SUM('Ablesewerte Strom'!D71-'Ablesewerte Strom'!C71)</f>
        <v>1042.2999999999956</v>
      </c>
      <c r="E79" s="3">
        <f>SUM('Ablesewerte Strom'!E71-'Ablesewerte Strom'!D71)</f>
        <v>1262.5999999999985</v>
      </c>
      <c r="F79" s="3">
        <f>SUM('Ablesewerte Strom'!F71-'Ablesewerte Strom'!E71)</f>
        <v>1116.3000000000029</v>
      </c>
      <c r="G79" s="3">
        <f>SUM('Ablesewerte Strom'!G71-'Ablesewerte Strom'!F71)</f>
        <v>1088.8000000000029</v>
      </c>
      <c r="H79" s="3">
        <f>SUM('Ablesewerte Strom'!H71-'Ablesewerte Strom'!G71)</f>
        <v>1223.3999999999942</v>
      </c>
      <c r="I79" s="3">
        <f>SUM('Ablesewerte Strom'!I71-'Ablesewerte Strom'!H71)</f>
        <v>1196.5</v>
      </c>
      <c r="J79" s="3">
        <f>SUM('Ablesewerte Strom'!J71-'Ablesewerte Strom'!I71)</f>
        <v>1570.1000000000058</v>
      </c>
      <c r="K79" s="3">
        <f>SUM('Ablesewerte Strom'!K71-'Ablesewerte Strom'!J71)</f>
        <v>876</v>
      </c>
      <c r="L79" s="3">
        <f>SUM('Ablesewerte Strom'!L71-'Ablesewerte Strom'!K71)</f>
        <v>1407.5999999999985</v>
      </c>
      <c r="M79" s="3">
        <f>SUM('Ablesewerte Strom'!M71-'Ablesewerte Strom'!L71)</f>
        <v>1597.0999999999985</v>
      </c>
      <c r="N79" s="3">
        <f>SUM('Ablesewerte Strom'!N71-'Ablesewerte Strom'!M71)</f>
        <v>1507.9000000000015</v>
      </c>
      <c r="O79" s="3">
        <f>SUM('Ablesewerte Strom'!O71-'Ablesewerte Strom'!N71)</f>
        <v>1104</v>
      </c>
      <c r="Q79" t="s">
        <v>100</v>
      </c>
      <c r="R79" s="20">
        <f>SUM(Q66:Q78)</f>
        <v>210007.8</v>
      </c>
    </row>
    <row r="84" spans="1:19" ht="15.75" x14ac:dyDescent="0.25">
      <c r="A84" s="1">
        <v>2009</v>
      </c>
    </row>
    <row r="85" spans="1:19" ht="15.75" x14ac:dyDescent="0.25">
      <c r="A85" s="1" t="s">
        <v>47</v>
      </c>
      <c r="D85" s="6" t="s">
        <v>6</v>
      </c>
      <c r="E85" s="6" t="s">
        <v>7</v>
      </c>
      <c r="F85" s="6" t="s">
        <v>8</v>
      </c>
      <c r="G85" s="6" t="s">
        <v>9</v>
      </c>
      <c r="H85" s="6" t="s">
        <v>10</v>
      </c>
      <c r="I85" s="6" t="s">
        <v>11</v>
      </c>
      <c r="J85" s="6" t="s">
        <v>12</v>
      </c>
      <c r="K85" s="6" t="s">
        <v>13</v>
      </c>
      <c r="L85" s="6" t="s">
        <v>14</v>
      </c>
      <c r="M85" s="6" t="s">
        <v>15</v>
      </c>
      <c r="N85" s="6" t="s">
        <v>16</v>
      </c>
      <c r="O85" s="6" t="s">
        <v>17</v>
      </c>
    </row>
    <row r="87" spans="1:19" x14ac:dyDescent="0.2">
      <c r="A87" t="s">
        <v>48</v>
      </c>
      <c r="D87" s="3">
        <f>SUM('Ablesewerte Strom'!D79-'Ablesewerte Strom'!C79)</f>
        <v>4406</v>
      </c>
      <c r="E87" s="3">
        <f>SUM('Ablesewerte Strom'!E79-'Ablesewerte Strom'!D79)</f>
        <v>3120.2000000000116</v>
      </c>
      <c r="F87" s="3">
        <f>SUM('Ablesewerte Strom'!F79-'Ablesewerte Strom'!E79)</f>
        <v>4190.7000000000116</v>
      </c>
      <c r="G87" s="3">
        <f>SUM('Ablesewerte Strom'!G79-'Ablesewerte Strom'!F79)</f>
        <v>2086.3999999999942</v>
      </c>
      <c r="H87" s="3">
        <f>SUM('Ablesewerte Strom'!H79-'Ablesewerte Strom'!G79)</f>
        <v>2699.2999999999884</v>
      </c>
      <c r="I87" s="3">
        <f>SUM('Ablesewerte Strom'!I79-'Ablesewerte Strom'!H79)</f>
        <v>2224.6000000000058</v>
      </c>
      <c r="J87" s="3">
        <f>SUM('Ablesewerte Strom'!J79-'Ablesewerte Strom'!I79)</f>
        <v>2317.8999999999942</v>
      </c>
      <c r="K87" s="3">
        <f>SUM('Ablesewerte Strom'!K79-'Ablesewerte Strom'!J79)</f>
        <v>1346.8000000000175</v>
      </c>
      <c r="L87" s="3">
        <f>SUM('Ablesewerte Strom'!L79-'Ablesewerte Strom'!K79)</f>
        <v>2930.7999999999884</v>
      </c>
      <c r="M87" s="3">
        <f>SUM('Ablesewerte Strom'!M79-'Ablesewerte Strom'!L79)</f>
        <v>2913.7999999999884</v>
      </c>
      <c r="N87" s="3">
        <f>SUM('Ablesewerte Strom'!N79-'Ablesewerte Strom'!M79)</f>
        <v>4245.4000000000233</v>
      </c>
      <c r="O87" s="3">
        <f>SUM('Ablesewerte Strom'!O79-'Ablesewerte Strom'!N79)</f>
        <v>3000.6999999999825</v>
      </c>
      <c r="Q87" s="3">
        <f>SUM(D87:O87)</f>
        <v>35482.600000000006</v>
      </c>
    </row>
    <row r="88" spans="1:19" x14ac:dyDescent="0.2">
      <c r="A88" t="s">
        <v>60</v>
      </c>
      <c r="D88" s="3">
        <f>SUM('Ablesewerte Strom'!D80-'Ablesewerte Strom'!C80)</f>
        <v>3106.6000000000058</v>
      </c>
      <c r="E88" s="3">
        <f>SUM('Ablesewerte Strom'!E80-'Ablesewerte Strom'!D80)</f>
        <v>2018.6999999999971</v>
      </c>
      <c r="F88" s="3">
        <f>SUM('Ablesewerte Strom'!F80-'Ablesewerte Strom'!E80)</f>
        <v>2765.5</v>
      </c>
      <c r="G88" s="3">
        <f>SUM('Ablesewerte Strom'!G80-'Ablesewerte Strom'!F80)</f>
        <v>1196.3999999999942</v>
      </c>
      <c r="H88" s="3">
        <f>SUM('Ablesewerte Strom'!H80-'Ablesewerte Strom'!G80)</f>
        <v>1742.5</v>
      </c>
      <c r="I88" s="3">
        <f>SUM('Ablesewerte Strom'!I80-'Ablesewerte Strom'!H80)</f>
        <v>1202</v>
      </c>
      <c r="J88" s="3">
        <f>SUM('Ablesewerte Strom'!J80-'Ablesewerte Strom'!I80)</f>
        <v>1360.3000000000029</v>
      </c>
      <c r="K88" s="3">
        <f>SUM('Ablesewerte Strom'!K80-'Ablesewerte Strom'!J80)</f>
        <v>709.10000000000582</v>
      </c>
      <c r="L88" s="3">
        <f>SUM('Ablesewerte Strom'!L80-'Ablesewerte Strom'!K80)</f>
        <v>1901.1999999999971</v>
      </c>
      <c r="M88" s="3">
        <f>SUM('Ablesewerte Strom'!M80-'Ablesewerte Strom'!L80)</f>
        <v>1877.6000000000058</v>
      </c>
      <c r="N88" s="3">
        <f>SUM('Ablesewerte Strom'!N80-'Ablesewerte Strom'!M80)</f>
        <v>2978.8999999999942</v>
      </c>
      <c r="O88" s="3">
        <f>SUM('Ablesewerte Strom'!O80-'Ablesewerte Strom'!N80)</f>
        <v>1989.6000000000058</v>
      </c>
      <c r="Q88" s="3">
        <f>SUM(D88:O88)</f>
        <v>22848.400000000009</v>
      </c>
      <c r="S88" s="3">
        <f>Q87-Q88</f>
        <v>12634.199999999997</v>
      </c>
    </row>
    <row r="89" spans="1:19" x14ac:dyDescent="0.2">
      <c r="A89" t="s">
        <v>49</v>
      </c>
      <c r="D89" s="3">
        <f>SUM('Ablesewerte Strom'!D81-'Ablesewerte Strom'!C81)</f>
        <v>141.89999999999418</v>
      </c>
      <c r="E89" s="3">
        <f>SUM('Ablesewerte Strom'!E81-'Ablesewerte Strom'!D81)</f>
        <v>137.10000000000582</v>
      </c>
      <c r="F89" s="3">
        <f>SUM('Ablesewerte Strom'!F81-'Ablesewerte Strom'!E81)</f>
        <v>194.5</v>
      </c>
      <c r="G89" s="3">
        <f>SUM('Ablesewerte Strom'!G81-'Ablesewerte Strom'!F81)</f>
        <v>84.19999999999709</v>
      </c>
      <c r="H89" s="3">
        <f>SUM('Ablesewerte Strom'!H81-'Ablesewerte Strom'!G81)</f>
        <v>116.59999999999854</v>
      </c>
      <c r="I89" s="3">
        <f>SUM('Ablesewerte Strom'!I81-'Ablesewerte Strom'!H81)</f>
        <v>135.09999999999854</v>
      </c>
      <c r="J89" s="3">
        <f>SUM('Ablesewerte Strom'!J81-'Ablesewerte Strom'!I81)</f>
        <v>67.100000000005821</v>
      </c>
      <c r="K89" s="3">
        <f>SUM('Ablesewerte Strom'!K81-'Ablesewerte Strom'!J81)</f>
        <v>3</v>
      </c>
      <c r="L89" s="3">
        <f>SUM('Ablesewerte Strom'!L81-'Ablesewerte Strom'!K81)</f>
        <v>141.59999999999854</v>
      </c>
      <c r="M89" s="3">
        <f>SUM('Ablesewerte Strom'!M81-'Ablesewerte Strom'!L81)</f>
        <v>161.69999999999709</v>
      </c>
      <c r="N89" s="3">
        <f>SUM('Ablesewerte Strom'!N81-'Ablesewerte Strom'!M81)</f>
        <v>281.80000000000291</v>
      </c>
      <c r="O89" s="3">
        <f>SUM('Ablesewerte Strom'!O81-'Ablesewerte Strom'!N81)</f>
        <v>201.79999999999563</v>
      </c>
      <c r="Q89" s="3">
        <f>SUM(D89:O89)</f>
        <v>1666.3999999999942</v>
      </c>
    </row>
    <row r="90" spans="1:19" x14ac:dyDescent="0.2">
      <c r="A90" t="s">
        <v>50</v>
      </c>
      <c r="D90" s="3">
        <f>SUM('Ablesewerte Strom'!D82-'Ablesewerte Strom'!C82)</f>
        <v>283.19999999999709</v>
      </c>
      <c r="E90" s="3">
        <f>SUM('Ablesewerte Strom'!E82-'Ablesewerte Strom'!D82)</f>
        <v>192.90000000000146</v>
      </c>
      <c r="F90" s="3">
        <f>SUM('Ablesewerte Strom'!F82-'Ablesewerte Strom'!E82)</f>
        <v>203.69999999999709</v>
      </c>
      <c r="G90" s="3">
        <f>SUM('Ablesewerte Strom'!G82-'Ablesewerte Strom'!F82)</f>
        <v>134.20000000000437</v>
      </c>
      <c r="H90" s="3">
        <f>SUM('Ablesewerte Strom'!H82-'Ablesewerte Strom'!G82)</f>
        <v>142.5</v>
      </c>
      <c r="I90" s="3">
        <f>SUM('Ablesewerte Strom'!I82-'Ablesewerte Strom'!H82)</f>
        <v>126.5</v>
      </c>
      <c r="J90" s="3">
        <f>SUM('Ablesewerte Strom'!J82-'Ablesewerte Strom'!I82)</f>
        <v>121.79999999999563</v>
      </c>
      <c r="K90" s="3">
        <f>SUM('Ablesewerte Strom'!K82-'Ablesewerte Strom'!J82)</f>
        <v>135.5</v>
      </c>
      <c r="L90" s="3">
        <f>SUM('Ablesewerte Strom'!L82-'Ablesewerte Strom'!K82)</f>
        <v>136.80000000000291</v>
      </c>
      <c r="M90" s="3">
        <f>SUM('Ablesewerte Strom'!M82-'Ablesewerte Strom'!L82)</f>
        <v>137.90000000000146</v>
      </c>
      <c r="N90" s="3">
        <f>SUM('Ablesewerte Strom'!N82-'Ablesewerte Strom'!M82)</f>
        <v>138</v>
      </c>
      <c r="O90" s="3">
        <f>SUM('Ablesewerte Strom'!O82-'Ablesewerte Strom'!N82)</f>
        <v>107.59999999999854</v>
      </c>
      <c r="Q90" s="3">
        <f>SUM(D90:O90)</f>
        <v>1860.5999999999985</v>
      </c>
    </row>
    <row r="91" spans="1:19" x14ac:dyDescent="0.2">
      <c r="A91" t="s">
        <v>52</v>
      </c>
      <c r="D91" s="5">
        <v>7120</v>
      </c>
      <c r="E91" s="5">
        <v>6955</v>
      </c>
      <c r="F91" s="5">
        <v>8959</v>
      </c>
      <c r="G91" s="5">
        <v>6426</v>
      </c>
      <c r="H91" s="5">
        <v>5870</v>
      </c>
      <c r="I91" s="5">
        <v>6866</v>
      </c>
      <c r="J91" s="5">
        <v>7150</v>
      </c>
      <c r="K91" s="5">
        <v>5923</v>
      </c>
      <c r="L91" s="5">
        <v>6308</v>
      </c>
      <c r="M91" s="5">
        <v>7897</v>
      </c>
      <c r="N91" s="5">
        <v>10249</v>
      </c>
      <c r="O91" s="5">
        <v>9032</v>
      </c>
    </row>
    <row r="92" spans="1:19" x14ac:dyDescent="0.2">
      <c r="D92" s="5">
        <v>1427</v>
      </c>
      <c r="E92" s="5">
        <v>1370</v>
      </c>
      <c r="F92" s="5">
        <v>1580</v>
      </c>
      <c r="G92" s="5">
        <v>1541</v>
      </c>
      <c r="H92" s="5">
        <v>1475</v>
      </c>
      <c r="I92" s="5">
        <v>1531</v>
      </c>
      <c r="J92" s="5">
        <v>1656</v>
      </c>
      <c r="K92" s="5">
        <v>1404</v>
      </c>
      <c r="L92" s="5">
        <v>1606</v>
      </c>
      <c r="M92" s="5">
        <v>1714</v>
      </c>
      <c r="N92" s="5">
        <v>2027</v>
      </c>
      <c r="O92" s="5">
        <v>2117</v>
      </c>
      <c r="Q92" s="3">
        <f>SUM(D91:O92)</f>
        <v>108203</v>
      </c>
    </row>
    <row r="93" spans="1:19" x14ac:dyDescent="0.2">
      <c r="A93" t="s">
        <v>92</v>
      </c>
      <c r="D93" s="3">
        <f>SUM('Ablesewerte Strom'!D84-'Ablesewerte Strom'!C84)</f>
        <v>53.570000000000164</v>
      </c>
      <c r="E93" s="3">
        <f>SUM('Ablesewerte Strom'!E84-'Ablesewerte Strom'!D84)</f>
        <v>51.799999999999727</v>
      </c>
      <c r="F93" s="3">
        <f>SUM('Ablesewerte Strom'!F84-'Ablesewerte Strom'!E84)</f>
        <v>72.300000000000182</v>
      </c>
      <c r="G93" s="3">
        <f>SUM('Ablesewerte Strom'!G84-'Ablesewerte Strom'!F84)</f>
        <v>52.739999999999782</v>
      </c>
      <c r="H93" s="3">
        <f>SUM('Ablesewerte Strom'!H84-'Ablesewerte Strom'!G84)</f>
        <v>55.630000000000109</v>
      </c>
      <c r="I93" s="3">
        <f>SUM('Ablesewerte Strom'!I84-'Ablesewerte Strom'!H84)</f>
        <v>66.650000000000091</v>
      </c>
      <c r="J93" s="3">
        <f>SUM('Ablesewerte Strom'!J84-'Ablesewerte Strom'!I84)</f>
        <v>62.2199999999998</v>
      </c>
      <c r="K93" s="3">
        <f>SUM('Ablesewerte Strom'!K84-'Ablesewerte Strom'!J84)</f>
        <v>70.350000000000364</v>
      </c>
      <c r="L93" s="3">
        <f>SUM('Ablesewerte Strom'!L84-'Ablesewerte Strom'!K84)</f>
        <v>59.779999999999745</v>
      </c>
      <c r="M93" s="3">
        <f>SUM('Ablesewerte Strom'!M84-'Ablesewerte Strom'!L84)</f>
        <v>59.360000000000127</v>
      </c>
      <c r="N93" s="3">
        <f>SUM('Ablesewerte Strom'!N84-'Ablesewerte Strom'!M84)</f>
        <v>72.150000000000091</v>
      </c>
      <c r="O93" s="3">
        <f>SUM('Ablesewerte Strom'!O84-'Ablesewerte Strom'!N84)</f>
        <v>57.889999999999873</v>
      </c>
      <c r="P93" s="3">
        <f>SUM(D93:O93)</f>
        <v>734.44</v>
      </c>
    </row>
    <row r="94" spans="1:19" x14ac:dyDescent="0.2">
      <c r="A94" t="s">
        <v>93</v>
      </c>
      <c r="D94" s="3">
        <f>SUM('Ablesewerte Strom'!D85-'Ablesewerte Strom'!C85)</f>
        <v>31.380000000000109</v>
      </c>
      <c r="E94" s="3">
        <f>SUM('Ablesewerte Strom'!E85-'Ablesewerte Strom'!D85)</f>
        <v>24.75</v>
      </c>
      <c r="F94" s="3">
        <f>SUM('Ablesewerte Strom'!F85-'Ablesewerte Strom'!E85)</f>
        <v>32.279999999999973</v>
      </c>
      <c r="G94" s="3">
        <f>SUM('Ablesewerte Strom'!G85-'Ablesewerte Strom'!F85)</f>
        <v>20.619999999999891</v>
      </c>
      <c r="H94" s="3">
        <f>SUM('Ablesewerte Strom'!H85-'Ablesewerte Strom'!G85)</f>
        <v>20.75</v>
      </c>
      <c r="I94" s="3">
        <f>SUM('Ablesewerte Strom'!I85-'Ablesewerte Strom'!H85)</f>
        <v>23.360000000000127</v>
      </c>
      <c r="J94" s="3">
        <f>SUM('Ablesewerte Strom'!J85-'Ablesewerte Strom'!I85)</f>
        <v>22.960000000000036</v>
      </c>
      <c r="K94" s="3">
        <f>SUM('Ablesewerte Strom'!K85-'Ablesewerte Strom'!J85)</f>
        <v>-23.210000000000036</v>
      </c>
      <c r="L94" s="3">
        <f>SUM('Ablesewerte Strom'!L85-'Ablesewerte Strom'!K85)</f>
        <v>59.579999999999927</v>
      </c>
      <c r="M94" s="3">
        <f>SUM('Ablesewerte Strom'!M85-'Ablesewerte Strom'!L85)</f>
        <v>26.230000000000018</v>
      </c>
      <c r="N94" s="3">
        <f>SUM('Ablesewerte Strom'!N85-'Ablesewerte Strom'!M85)</f>
        <v>33.339999999999918</v>
      </c>
      <c r="O94" s="3">
        <f>SUM('Ablesewerte Strom'!O85-'Ablesewerte Strom'!N85)</f>
        <v>27.160000000000082</v>
      </c>
      <c r="P94" s="3">
        <f>SUM(D94:O94)</f>
        <v>299.20000000000005</v>
      </c>
    </row>
    <row r="95" spans="1:19" x14ac:dyDescent="0.2">
      <c r="A95" t="s">
        <v>94</v>
      </c>
      <c r="D95" s="3">
        <f>SUM('Ablesewerte Strom'!D86-'Ablesewerte Strom'!C86)</f>
        <v>1186.0999999999985</v>
      </c>
      <c r="E95" s="3">
        <f>SUM('Ablesewerte Strom'!E86-'Ablesewerte Strom'!D86)</f>
        <v>370.09999999999854</v>
      </c>
      <c r="F95" s="3">
        <f>SUM('Ablesewerte Strom'!F86-'Ablesewerte Strom'!E86)</f>
        <v>1763.7000000000044</v>
      </c>
      <c r="G95" s="3">
        <f>SUM('Ablesewerte Strom'!G86-'Ablesewerte Strom'!F86)</f>
        <v>690.29999999999563</v>
      </c>
      <c r="H95" s="3">
        <f>SUM('Ablesewerte Strom'!H86-'Ablesewerte Strom'!G86)</f>
        <v>717.90000000000146</v>
      </c>
      <c r="I95" s="3">
        <f>SUM('Ablesewerte Strom'!I86-'Ablesewerte Strom'!H86)</f>
        <v>689.19999999999709</v>
      </c>
      <c r="J95" s="3">
        <f>SUM('Ablesewerte Strom'!J86-'Ablesewerte Strom'!I86)</f>
        <v>678.30000000000291</v>
      </c>
      <c r="K95" s="3">
        <f>SUM('Ablesewerte Strom'!K86-'Ablesewerte Strom'!J86)</f>
        <v>402.80000000000291</v>
      </c>
      <c r="L95" s="3">
        <f>SUM('Ablesewerte Strom'!L86-'Ablesewerte Strom'!K86)</f>
        <v>813.69999999999709</v>
      </c>
      <c r="M95" s="3">
        <f>SUM('Ablesewerte Strom'!M86-'Ablesewerte Strom'!L86)</f>
        <v>1011.5999999999985</v>
      </c>
      <c r="N95" s="3">
        <f>SUM('Ablesewerte Strom'!N86-'Ablesewerte Strom'!M86)</f>
        <v>1301</v>
      </c>
      <c r="O95" s="3">
        <f>SUM('Ablesewerte Strom'!O86-'Ablesewerte Strom'!N86)</f>
        <v>1030.9000000000015</v>
      </c>
      <c r="P95" s="3">
        <f>SUM(D95:O95)</f>
        <v>10655.599999999999</v>
      </c>
      <c r="S95" s="3">
        <f>Q92-P95</f>
        <v>97547.4</v>
      </c>
    </row>
    <row r="96" spans="1:19" x14ac:dyDescent="0.2">
      <c r="A96" t="s">
        <v>95</v>
      </c>
      <c r="D96" s="3">
        <f>SUM('Ablesewerte Strom'!D87-'Ablesewerte Strom'!C87)</f>
        <v>0</v>
      </c>
      <c r="E96" s="3">
        <f>SUM('Ablesewerte Strom'!E87-'Ablesewerte Strom'!D87)</f>
        <v>0</v>
      </c>
      <c r="F96" s="3">
        <f>SUM('Ablesewerte Strom'!F87-'Ablesewerte Strom'!E87)</f>
        <v>0</v>
      </c>
      <c r="G96" s="3">
        <f>SUM('Ablesewerte Strom'!G87-'Ablesewerte Strom'!F87)</f>
        <v>0</v>
      </c>
      <c r="H96" s="3">
        <f>SUM('Ablesewerte Strom'!H87-'Ablesewerte Strom'!G87)</f>
        <v>0</v>
      </c>
      <c r="I96" s="3">
        <f>SUM('Ablesewerte Strom'!I87-'Ablesewerte Strom'!H87)</f>
        <v>0</v>
      </c>
      <c r="J96" s="3">
        <f>SUM('Ablesewerte Strom'!J87-'Ablesewerte Strom'!I87)</f>
        <v>-0.89999999999999858</v>
      </c>
      <c r="K96" s="3">
        <f>SUM('Ablesewerte Strom'!K87-'Ablesewerte Strom'!J87)</f>
        <v>2.1000000000000014</v>
      </c>
      <c r="L96" s="3">
        <f>SUM('Ablesewerte Strom'!L87-'Ablesewerte Strom'!K87)</f>
        <v>3.5</v>
      </c>
      <c r="M96" s="3">
        <f>SUM('Ablesewerte Strom'!M87-'Ablesewerte Strom'!L87)</f>
        <v>103.9</v>
      </c>
      <c r="N96" s="3">
        <f>SUM('Ablesewerte Strom'!N87-'Ablesewerte Strom'!M87)</f>
        <v>410.20000000000005</v>
      </c>
      <c r="O96" s="3">
        <f>SUM('Ablesewerte Strom'!O87-'Ablesewerte Strom'!N87)</f>
        <v>817.59999999999991</v>
      </c>
      <c r="P96" s="3">
        <f>SUM(D96:O96)</f>
        <v>1336.4</v>
      </c>
    </row>
    <row r="97" spans="1:19" x14ac:dyDescent="0.2">
      <c r="A97" t="s">
        <v>96</v>
      </c>
      <c r="D97" s="3">
        <f>SUM('Ablesewerte Strom'!D88-'Ablesewerte Strom'!C88)</f>
        <v>0.70000000000004547</v>
      </c>
      <c r="E97" s="3">
        <f>SUM('Ablesewerte Strom'!E88-'Ablesewerte Strom'!D88)</f>
        <v>0.89999999999986358</v>
      </c>
      <c r="F97" s="3">
        <f>SUM('Ablesewerte Strom'!F88-'Ablesewerte Strom'!E88)</f>
        <v>0.90000000000009095</v>
      </c>
      <c r="G97" s="3">
        <f>SUM('Ablesewerte Strom'!G88-'Ablesewerte Strom'!F88)</f>
        <v>0.40000000000009095</v>
      </c>
      <c r="H97" s="3">
        <f>SUM('Ablesewerte Strom'!H88-'Ablesewerte Strom'!G88)</f>
        <v>18.5</v>
      </c>
      <c r="I97" s="3">
        <f>SUM('Ablesewerte Strom'!I88-'Ablesewerte Strom'!H88)</f>
        <v>0.5</v>
      </c>
      <c r="J97" s="3">
        <f>SUM('Ablesewerte Strom'!J88-'Ablesewerte Strom'!I88)</f>
        <v>7.0999999999999091</v>
      </c>
      <c r="K97" s="3">
        <f>SUM('Ablesewerte Strom'!K88-'Ablesewerte Strom'!J88)</f>
        <v>3.2999999999999545</v>
      </c>
      <c r="L97" s="3">
        <f>SUM('Ablesewerte Strom'!L88-'Ablesewerte Strom'!K88)</f>
        <v>149.70000000000005</v>
      </c>
      <c r="M97" s="3">
        <f>SUM('Ablesewerte Strom'!M88-'Ablesewerte Strom'!L88)</f>
        <v>281.59999999999991</v>
      </c>
      <c r="N97" s="3">
        <f>SUM('Ablesewerte Strom'!N88-'Ablesewerte Strom'!M88)</f>
        <v>875.80000000000018</v>
      </c>
      <c r="O97" s="3">
        <f>SUM('Ablesewerte Strom'!O88-'Ablesewerte Strom'!N88)</f>
        <v>508.29999999999973</v>
      </c>
      <c r="P97" s="3">
        <f>SUM(D97:O97)</f>
        <v>1847.6999999999998</v>
      </c>
    </row>
    <row r="98" spans="1:19" x14ac:dyDescent="0.2">
      <c r="A98" t="s">
        <v>53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33505</v>
      </c>
    </row>
    <row r="99" spans="1:19" x14ac:dyDescent="0.2"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7659</v>
      </c>
      <c r="Q99" s="3">
        <f>SUM(D98:O99)</f>
        <v>41164</v>
      </c>
    </row>
    <row r="100" spans="1:19" x14ac:dyDescent="0.2">
      <c r="A100" t="s">
        <v>97</v>
      </c>
      <c r="D100" s="3">
        <f>SUM('Ablesewerte Strom'!D90-'Ablesewerte Strom'!C90)</f>
        <v>1827.5</v>
      </c>
      <c r="E100" s="3">
        <f>SUM('Ablesewerte Strom'!E90-'Ablesewerte Strom'!D90)</f>
        <v>1459</v>
      </c>
      <c r="F100" s="3">
        <f>SUM('Ablesewerte Strom'!F90-'Ablesewerte Strom'!E90)</f>
        <v>1626.7999999999956</v>
      </c>
      <c r="G100" s="3">
        <f>SUM('Ablesewerte Strom'!G90-'Ablesewerte Strom'!F90)</f>
        <v>1579.1000000000058</v>
      </c>
      <c r="H100" s="3">
        <f>SUM('Ablesewerte Strom'!H90-'Ablesewerte Strom'!G90)</f>
        <v>1325.3999999999942</v>
      </c>
      <c r="I100" s="3">
        <f>SUM('Ablesewerte Strom'!I90-'Ablesewerte Strom'!H90)</f>
        <v>1447.1000000000058</v>
      </c>
      <c r="J100" s="3">
        <f>SUM('Ablesewerte Strom'!J90-'Ablesewerte Strom'!I90)</f>
        <v>1331.6999999999971</v>
      </c>
      <c r="K100" s="3">
        <f>SUM('Ablesewerte Strom'!K90-'Ablesewerte Strom'!J90)</f>
        <v>1660.8000000000029</v>
      </c>
      <c r="L100" s="3">
        <f>SUM('Ablesewerte Strom'!L90-'Ablesewerte Strom'!K90)</f>
        <v>1485.7999999999956</v>
      </c>
      <c r="M100" s="3">
        <f>SUM('Ablesewerte Strom'!M90-'Ablesewerte Strom'!L90)</f>
        <v>1430</v>
      </c>
      <c r="N100" s="3">
        <f>SUM('Ablesewerte Strom'!N90-'Ablesewerte Strom'!M90)</f>
        <v>1327.4000000000015</v>
      </c>
      <c r="O100" s="3">
        <f>SUM('Ablesewerte Strom'!O90-'Ablesewerte Strom'!N90)</f>
        <v>1002.1999999999971</v>
      </c>
      <c r="P100" s="3">
        <f>SUM(D100:O100)</f>
        <v>17502.799999999996</v>
      </c>
      <c r="Q100" t="s">
        <v>100</v>
      </c>
      <c r="R100" s="20">
        <f>SUM(Q87:Q99)</f>
        <v>211225</v>
      </c>
    </row>
    <row r="105" spans="1:19" ht="15.75" x14ac:dyDescent="0.25">
      <c r="A105" s="1">
        <v>2010</v>
      </c>
    </row>
    <row r="106" spans="1:19" ht="15.75" x14ac:dyDescent="0.25">
      <c r="A106" s="1" t="s">
        <v>47</v>
      </c>
      <c r="D106" s="6" t="s">
        <v>6</v>
      </c>
      <c r="E106" s="6" t="s">
        <v>7</v>
      </c>
      <c r="F106" s="6" t="s">
        <v>8</v>
      </c>
      <c r="G106" s="6" t="s">
        <v>9</v>
      </c>
      <c r="H106" s="6" t="s">
        <v>10</v>
      </c>
      <c r="I106" s="6" t="s">
        <v>11</v>
      </c>
      <c r="J106" s="6" t="s">
        <v>12</v>
      </c>
      <c r="K106" s="6" t="s">
        <v>13</v>
      </c>
      <c r="L106" s="6" t="s">
        <v>14</v>
      </c>
      <c r="M106" s="6" t="s">
        <v>15</v>
      </c>
      <c r="N106" s="6" t="s">
        <v>16</v>
      </c>
      <c r="O106" s="6" t="s">
        <v>17</v>
      </c>
    </row>
    <row r="108" spans="1:19" x14ac:dyDescent="0.2">
      <c r="A108" t="s">
        <v>48</v>
      </c>
      <c r="D108" s="3">
        <f>SUM('Ablesewerte Strom'!D98-'Ablesewerte Strom'!C98)</f>
        <v>4818</v>
      </c>
      <c r="E108" s="3">
        <f>SUM('Ablesewerte Strom'!E98-'Ablesewerte Strom'!D98)</f>
        <v>3391.8000000000175</v>
      </c>
      <c r="F108" s="3">
        <f>SUM('Ablesewerte Strom'!F98-'Ablesewerte Strom'!E98)</f>
        <v>4176.3999999999651</v>
      </c>
      <c r="G108" s="3">
        <f>SUM('Ablesewerte Strom'!G98-'Ablesewerte Strom'!F98)</f>
        <v>3016.3000000000466</v>
      </c>
      <c r="H108" s="3">
        <f>SUM('Ablesewerte Strom'!H98-'Ablesewerte Strom'!G98)</f>
        <v>2245.8999999999651</v>
      </c>
      <c r="I108" s="3">
        <f>SUM('Ablesewerte Strom'!I98-'Ablesewerte Strom'!H98)</f>
        <v>3333.4000000000233</v>
      </c>
      <c r="J108" s="3">
        <f>SUM('Ablesewerte Strom'!J98-'Ablesewerte Strom'!I98)</f>
        <v>3037.5</v>
      </c>
      <c r="K108" s="3">
        <f>SUM('Ablesewerte Strom'!K98-'Ablesewerte Strom'!J98)</f>
        <v>1819.2000000000116</v>
      </c>
      <c r="L108" s="3">
        <f>SUM('Ablesewerte Strom'!L98-'Ablesewerte Strom'!K98)</f>
        <v>2953.1999999999534</v>
      </c>
      <c r="M108" s="3">
        <f>SUM('Ablesewerte Strom'!M98-'Ablesewerte Strom'!L98)</f>
        <v>3567</v>
      </c>
      <c r="N108" s="3">
        <f>SUM('Ablesewerte Strom'!N98-'Ablesewerte Strom'!M98)</f>
        <v>4016.7000000000116</v>
      </c>
      <c r="O108" s="3">
        <f>SUM('Ablesewerte Strom'!O98-'Ablesewerte Strom'!N98)</f>
        <v>3524.7000000000116</v>
      </c>
      <c r="Q108" s="3">
        <f>SUM(D108:O108)</f>
        <v>39900.100000000006</v>
      </c>
    </row>
    <row r="109" spans="1:19" x14ac:dyDescent="0.2">
      <c r="A109" t="s">
        <v>60</v>
      </c>
      <c r="D109" s="3">
        <f>SUM('Ablesewerte Strom'!D99-'Ablesewerte Strom'!C99)</f>
        <v>3545.2999999999884</v>
      </c>
      <c r="E109" s="3">
        <f>SUM('Ablesewerte Strom'!E99-'Ablesewerte Strom'!D99)</f>
        <v>2272.6000000000058</v>
      </c>
      <c r="F109" s="3">
        <f>SUM('Ablesewerte Strom'!F99-'Ablesewerte Strom'!E99)</f>
        <v>3012.8999999999942</v>
      </c>
      <c r="G109" s="3">
        <f>SUM('Ablesewerte Strom'!G99-'Ablesewerte Strom'!F99)</f>
        <v>2003.8999999999942</v>
      </c>
      <c r="H109" s="3">
        <f>SUM('Ablesewerte Strom'!H99-'Ablesewerte Strom'!G99)</f>
        <v>1547.2000000000116</v>
      </c>
      <c r="I109" s="3">
        <f>SUM('Ablesewerte Strom'!I99-'Ablesewerte Strom'!H99)</f>
        <v>2082.7999999999884</v>
      </c>
      <c r="J109" s="3">
        <f>SUM('Ablesewerte Strom'!J99-'Ablesewerte Strom'!I99)</f>
        <v>2035.9000000000233</v>
      </c>
      <c r="K109" s="3">
        <f>SUM('Ablesewerte Strom'!K99-'Ablesewerte Strom'!J99)</f>
        <v>1154.2999999999884</v>
      </c>
      <c r="L109" s="3">
        <f>SUM('Ablesewerte Strom'!L99-'Ablesewerte Strom'!K99)</f>
        <v>2025.7999999999884</v>
      </c>
      <c r="M109" s="3">
        <f>SUM('Ablesewerte Strom'!M99-'Ablesewerte Strom'!L99)</f>
        <v>2371.3000000000175</v>
      </c>
      <c r="N109" s="3">
        <f>SUM('Ablesewerte Strom'!N99-'Ablesewerte Strom'!M99)</f>
        <v>2862.1999999999825</v>
      </c>
      <c r="O109" s="3">
        <f>SUM('Ablesewerte Strom'!O99-'Ablesewerte Strom'!N99)</f>
        <v>2412.1000000000058</v>
      </c>
      <c r="Q109" s="3">
        <f>SUM(D109:O109)</f>
        <v>27326.299999999988</v>
      </c>
      <c r="S109" s="3">
        <f>Q108-Q109</f>
        <v>12573.800000000017</v>
      </c>
    </row>
    <row r="110" spans="1:19" x14ac:dyDescent="0.2">
      <c r="A110" t="s">
        <v>49</v>
      </c>
      <c r="D110" s="3">
        <f>SUM('Ablesewerte Strom'!D100-'Ablesewerte Strom'!C100)</f>
        <v>229.90000000000146</v>
      </c>
      <c r="E110" s="3">
        <f>SUM('Ablesewerte Strom'!E100-'Ablesewerte Strom'!D100)</f>
        <v>191.40000000000146</v>
      </c>
      <c r="F110" s="3">
        <f>SUM('Ablesewerte Strom'!F100-'Ablesewerte Strom'!E100)</f>
        <v>224.19999999999709</v>
      </c>
      <c r="G110" s="3">
        <f>SUM('Ablesewerte Strom'!G100-'Ablesewerte Strom'!F100)</f>
        <v>170.20000000000437</v>
      </c>
      <c r="H110" s="3">
        <f>SUM('Ablesewerte Strom'!H100-'Ablesewerte Strom'!G100)</f>
        <v>106.90000000000146</v>
      </c>
      <c r="I110" s="3">
        <f>SUM('Ablesewerte Strom'!I100-'Ablesewerte Strom'!H100)</f>
        <v>142.39999999999418</v>
      </c>
      <c r="J110" s="3">
        <f>SUM('Ablesewerte Strom'!J100-'Ablesewerte Strom'!I100)</f>
        <v>4.1000000000058208</v>
      </c>
      <c r="K110" s="3">
        <f>SUM('Ablesewerte Strom'!K100-'Ablesewerte Strom'!J100)</f>
        <v>36.399999999994179</v>
      </c>
      <c r="L110" s="3">
        <f>SUM('Ablesewerte Strom'!L100-'Ablesewerte Strom'!K100)</f>
        <v>119.30000000000291</v>
      </c>
      <c r="M110" s="3">
        <f>SUM('Ablesewerte Strom'!M100-'Ablesewerte Strom'!L100)</f>
        <v>52.400000000001455</v>
      </c>
      <c r="N110" s="3">
        <f>SUM('Ablesewerte Strom'!N100-'Ablesewerte Strom'!M100)</f>
        <v>59.19999999999709</v>
      </c>
      <c r="O110" s="3">
        <f>SUM('Ablesewerte Strom'!O100-'Ablesewerte Strom'!N100)</f>
        <v>54.80000000000291</v>
      </c>
      <c r="Q110" s="3">
        <f>SUM(D110:O110)</f>
        <v>1391.2000000000044</v>
      </c>
    </row>
    <row r="111" spans="1:19" x14ac:dyDescent="0.2">
      <c r="A111" t="s">
        <v>50</v>
      </c>
      <c r="D111" s="3">
        <f>SUM('Ablesewerte Strom'!D101-'Ablesewerte Strom'!C101)</f>
        <v>183.59999999999854</v>
      </c>
      <c r="E111" s="3">
        <f>SUM('Ablesewerte Strom'!E101-'Ablesewerte Strom'!D101)</f>
        <v>128.5</v>
      </c>
      <c r="F111" s="3">
        <f>SUM('Ablesewerte Strom'!F101-'Ablesewerte Strom'!E101)</f>
        <v>154.90000000000146</v>
      </c>
      <c r="G111" s="3">
        <f>SUM('Ablesewerte Strom'!G101-'Ablesewerte Strom'!F101)</f>
        <v>141.40000000000146</v>
      </c>
      <c r="H111" s="3">
        <f>SUM('Ablesewerte Strom'!H101-'Ablesewerte Strom'!G101)</f>
        <v>77.400000000001455</v>
      </c>
      <c r="I111" s="3">
        <f>SUM('Ablesewerte Strom'!I101-'Ablesewerte Strom'!H101)</f>
        <v>183</v>
      </c>
      <c r="J111" s="3">
        <f>SUM('Ablesewerte Strom'!J101-'Ablesewerte Strom'!I101)</f>
        <v>122.39999999999418</v>
      </c>
      <c r="K111" s="3">
        <f>SUM('Ablesewerte Strom'!K101-'Ablesewerte Strom'!J101)</f>
        <v>133.40000000000146</v>
      </c>
      <c r="L111" s="3">
        <f>SUM('Ablesewerte Strom'!L101-'Ablesewerte Strom'!K101)</f>
        <v>165.80000000000291</v>
      </c>
      <c r="M111" s="3">
        <f>SUM('Ablesewerte Strom'!M101-'Ablesewerte Strom'!L101)</f>
        <v>182.79999999999563</v>
      </c>
      <c r="N111" s="3">
        <f>SUM('Ablesewerte Strom'!N101-'Ablesewerte Strom'!M101)</f>
        <v>173.20000000000437</v>
      </c>
      <c r="O111" s="3">
        <f>SUM('Ablesewerte Strom'!O101-'Ablesewerte Strom'!N101)</f>
        <v>181.09999999999854</v>
      </c>
      <c r="Q111" s="3">
        <f>SUM(D111:O111)</f>
        <v>1827.5</v>
      </c>
    </row>
    <row r="112" spans="1:19" x14ac:dyDescent="0.2">
      <c r="A112" t="s">
        <v>52</v>
      </c>
      <c r="D112" s="5">
        <v>8505</v>
      </c>
      <c r="E112" s="5">
        <v>7995</v>
      </c>
      <c r="F112" s="5">
        <v>8257</v>
      </c>
      <c r="G112" s="5">
        <v>6271</v>
      </c>
      <c r="H112" s="5">
        <v>5865</v>
      </c>
      <c r="I112" s="5">
        <v>6821</v>
      </c>
      <c r="J112" s="5">
        <v>6712</v>
      </c>
      <c r="K112" s="5">
        <v>5956</v>
      </c>
      <c r="L112" s="5">
        <v>6505</v>
      </c>
      <c r="M112" s="5">
        <v>9568</v>
      </c>
      <c r="N112" s="5">
        <v>9023</v>
      </c>
      <c r="O112" s="5">
        <v>8117</v>
      </c>
    </row>
    <row r="113" spans="1:19" x14ac:dyDescent="0.2">
      <c r="D113" s="5">
        <v>1918</v>
      </c>
      <c r="E113" s="5">
        <v>1804</v>
      </c>
      <c r="F113" s="5">
        <v>1861</v>
      </c>
      <c r="G113" s="5">
        <v>1789</v>
      </c>
      <c r="H113" s="5">
        <v>1750</v>
      </c>
      <c r="I113" s="5">
        <v>1756</v>
      </c>
      <c r="J113" s="5">
        <v>1997</v>
      </c>
      <c r="K113" s="5">
        <v>1696</v>
      </c>
      <c r="L113" s="5">
        <v>1676</v>
      </c>
      <c r="M113" s="5">
        <v>1887</v>
      </c>
      <c r="N113" s="5">
        <v>1780</v>
      </c>
      <c r="O113" s="5">
        <v>1737</v>
      </c>
      <c r="Q113" s="3">
        <f>SUM(D112:O113)</f>
        <v>111246</v>
      </c>
    </row>
    <row r="114" spans="1:19" x14ac:dyDescent="0.2">
      <c r="A114" t="s">
        <v>92</v>
      </c>
      <c r="D114" s="3">
        <f>SUM('Ablesewerte Strom'!D103-'Ablesewerte Strom'!C103)</f>
        <v>65.240000000000236</v>
      </c>
      <c r="E114" s="3">
        <f>SUM('Ablesewerte Strom'!E103-'Ablesewerte Strom'!D103)</f>
        <v>61.089999999999691</v>
      </c>
      <c r="F114" s="3">
        <f>SUM('Ablesewerte Strom'!F103-'Ablesewerte Strom'!E103)</f>
        <v>68.690000000000055</v>
      </c>
      <c r="G114" s="3">
        <f>SUM('Ablesewerte Strom'!G103-'Ablesewerte Strom'!F103)</f>
        <v>62.110000000000127</v>
      </c>
      <c r="H114" s="3">
        <f>SUM('Ablesewerte Strom'!H103-'Ablesewerte Strom'!G103)</f>
        <v>42.139999999999873</v>
      </c>
      <c r="I114" s="3">
        <f>SUM('Ablesewerte Strom'!I103-'Ablesewerte Strom'!H103)</f>
        <v>76.320000000000164</v>
      </c>
      <c r="J114" s="3">
        <f>SUM('Ablesewerte Strom'!J103-'Ablesewerte Strom'!I103)</f>
        <v>73.569999999999709</v>
      </c>
      <c r="K114" s="3">
        <f>SUM('Ablesewerte Strom'!K103-'Ablesewerte Strom'!J103)</f>
        <v>68.130000000000109</v>
      </c>
      <c r="L114" s="3">
        <f>SUM('Ablesewerte Strom'!L103-'Ablesewerte Strom'!K103)</f>
        <v>58.860000000000127</v>
      </c>
      <c r="M114" s="3">
        <f>SUM('Ablesewerte Strom'!M103-'Ablesewerte Strom'!L103)</f>
        <v>79.590000000000146</v>
      </c>
      <c r="N114" s="3">
        <f>SUM('Ablesewerte Strom'!N103-'Ablesewerte Strom'!M103)</f>
        <v>70</v>
      </c>
      <c r="O114" s="3">
        <f>SUM('Ablesewerte Strom'!O103-'Ablesewerte Strom'!N103)</f>
        <v>62.409999999999854</v>
      </c>
      <c r="P114" s="3">
        <f>SUM(D114:O114)</f>
        <v>788.15000000000009</v>
      </c>
    </row>
    <row r="115" spans="1:19" x14ac:dyDescent="0.2">
      <c r="A115" t="s">
        <v>93</v>
      </c>
      <c r="D115" s="3">
        <f>SUM('Ablesewerte Strom'!D104-'Ablesewerte Strom'!C104)</f>
        <v>33.400000000000091</v>
      </c>
      <c r="E115" s="3">
        <f>SUM('Ablesewerte Strom'!E104-'Ablesewerte Strom'!D104)</f>
        <v>28.129999999999882</v>
      </c>
      <c r="F115" s="3">
        <f>SUM('Ablesewerte Strom'!F104-'Ablesewerte Strom'!E104)</f>
        <v>28.400000000000091</v>
      </c>
      <c r="G115" s="3">
        <f>SUM('Ablesewerte Strom'!G104-'Ablesewerte Strom'!F104)</f>
        <v>21.849999999999909</v>
      </c>
      <c r="H115" s="3">
        <f>SUM('Ablesewerte Strom'!H104-'Ablesewerte Strom'!G104)</f>
        <v>15.180000000000064</v>
      </c>
      <c r="I115" s="3">
        <f>SUM('Ablesewerte Strom'!I104-'Ablesewerte Strom'!H104)</f>
        <v>26.539999999999964</v>
      </c>
      <c r="J115" s="3">
        <f>SUM('Ablesewerte Strom'!J104-'Ablesewerte Strom'!I104)</f>
        <v>22.829999999999927</v>
      </c>
      <c r="K115" s="3">
        <f>SUM('Ablesewerte Strom'!K104-'Ablesewerte Strom'!J104)</f>
        <v>14.960000000000036</v>
      </c>
      <c r="L115" s="3">
        <f>SUM('Ablesewerte Strom'!L104-'Ablesewerte Strom'!K104)</f>
        <v>22.860000000000127</v>
      </c>
      <c r="M115" s="3">
        <f>SUM('Ablesewerte Strom'!M104-'Ablesewerte Strom'!L104)</f>
        <v>30.849999999999909</v>
      </c>
      <c r="N115" s="3">
        <f>SUM('Ablesewerte Strom'!N104-'Ablesewerte Strom'!M104)</f>
        <v>31.720000000000027</v>
      </c>
      <c r="O115" s="3">
        <f>SUM('Ablesewerte Strom'!O104-'Ablesewerte Strom'!N104)</f>
        <v>28.309999999999945</v>
      </c>
      <c r="P115" s="3">
        <f>SUM(D115:O115)</f>
        <v>305.02999999999997</v>
      </c>
    </row>
    <row r="116" spans="1:19" x14ac:dyDescent="0.2">
      <c r="A116" t="s">
        <v>94</v>
      </c>
      <c r="D116" s="3">
        <f>SUM('Ablesewerte Strom'!D105-'Ablesewerte Strom'!C105)</f>
        <v>1215.0999999999985</v>
      </c>
      <c r="E116" s="3">
        <f>SUM('Ablesewerte Strom'!E105-'Ablesewerte Strom'!D105)</f>
        <v>958.40000000000146</v>
      </c>
      <c r="F116" s="3">
        <f>SUM('Ablesewerte Strom'!F105-'Ablesewerte Strom'!E105)</f>
        <v>911.90000000000146</v>
      </c>
      <c r="G116" s="3">
        <f>SUM('Ablesewerte Strom'!G105-'Ablesewerte Strom'!F105)</f>
        <v>902.19999999999709</v>
      </c>
      <c r="H116" s="3">
        <f>SUM('Ablesewerte Strom'!H105-'Ablesewerte Strom'!G105)</f>
        <v>619.40000000000146</v>
      </c>
      <c r="I116" s="3">
        <f>SUM('Ablesewerte Strom'!I105-'Ablesewerte Strom'!H105)</f>
        <v>902.90000000000146</v>
      </c>
      <c r="J116" s="3">
        <f>SUM('Ablesewerte Strom'!J105-'Ablesewerte Strom'!I105)</f>
        <v>592.59999999999854</v>
      </c>
      <c r="K116" s="3">
        <f>SUM('Ablesewerte Strom'!K105-'Ablesewerte Strom'!J105)</f>
        <v>385.90000000000146</v>
      </c>
      <c r="L116" s="3">
        <f>SUM('Ablesewerte Strom'!L105-'Ablesewerte Strom'!K105)</f>
        <v>824.69999999999709</v>
      </c>
      <c r="M116" s="3">
        <f>SUM('Ablesewerte Strom'!M105-'Ablesewerte Strom'!L105)</f>
        <v>1211.7000000000044</v>
      </c>
      <c r="N116" s="3">
        <f>SUM('Ablesewerte Strom'!N105-'Ablesewerte Strom'!M105)</f>
        <v>1173.0999999999985</v>
      </c>
      <c r="O116" s="3">
        <f>SUM('Ablesewerte Strom'!O105-'Ablesewerte Strom'!N105)</f>
        <v>1001.7999999999956</v>
      </c>
      <c r="P116" s="3">
        <f>SUM(D116:O116)</f>
        <v>10699.699999999997</v>
      </c>
      <c r="S116" s="3">
        <f>Q113-P116</f>
        <v>100546.3</v>
      </c>
    </row>
    <row r="117" spans="1:19" x14ac:dyDescent="0.2">
      <c r="A117" t="s">
        <v>95</v>
      </c>
      <c r="D117" s="3">
        <f>SUM('Ablesewerte Strom'!D106-'Ablesewerte Strom'!C106)</f>
        <v>549.29999999999995</v>
      </c>
      <c r="E117" s="3">
        <f>SUM('Ablesewerte Strom'!E106-'Ablesewerte Strom'!D106)</f>
        <v>496</v>
      </c>
      <c r="F117" s="3">
        <f>SUM('Ablesewerte Strom'!F106-'Ablesewerte Strom'!E106)</f>
        <v>251.09999999999991</v>
      </c>
      <c r="G117" s="3">
        <f>SUM('Ablesewerte Strom'!G106-'Ablesewerte Strom'!F106)</f>
        <v>13.5</v>
      </c>
      <c r="H117" s="3">
        <f>SUM('Ablesewerte Strom'!H106-'Ablesewerte Strom'!G106)</f>
        <v>20.5</v>
      </c>
      <c r="I117" s="3">
        <f>SUM('Ablesewerte Strom'!I106-'Ablesewerte Strom'!H106)</f>
        <v>2.2000000000002728</v>
      </c>
      <c r="J117" s="3">
        <f>SUM('Ablesewerte Strom'!J106-'Ablesewerte Strom'!I106)</f>
        <v>3.0999999999999091</v>
      </c>
      <c r="K117" s="3">
        <f>SUM('Ablesewerte Strom'!K106-'Ablesewerte Strom'!J106)</f>
        <v>20.400000000000091</v>
      </c>
      <c r="L117" s="3">
        <f>SUM('Ablesewerte Strom'!L106-'Ablesewerte Strom'!K106)</f>
        <v>15.299999999999727</v>
      </c>
      <c r="M117" s="3">
        <f>SUM('Ablesewerte Strom'!M106-'Ablesewerte Strom'!L106)</f>
        <v>175.10000000000036</v>
      </c>
      <c r="N117" s="3">
        <f>SUM('Ablesewerte Strom'!N106-'Ablesewerte Strom'!M106)</f>
        <v>197.69999999999982</v>
      </c>
      <c r="O117" s="3">
        <f>SUM('Ablesewerte Strom'!O106-'Ablesewerte Strom'!N106)</f>
        <v>231.80000000000018</v>
      </c>
      <c r="P117" s="3">
        <f>SUM(D117:O117)</f>
        <v>1976.0000000000002</v>
      </c>
    </row>
    <row r="118" spans="1:19" x14ac:dyDescent="0.2">
      <c r="A118" t="s">
        <v>96</v>
      </c>
      <c r="D118" s="3">
        <f>SUM('Ablesewerte Strom'!D107-'Ablesewerte Strom'!C107)</f>
        <v>716.10000000000036</v>
      </c>
      <c r="E118" s="3">
        <f>SUM('Ablesewerte Strom'!E107-'Ablesewerte Strom'!D107)</f>
        <v>144.30000000000018</v>
      </c>
      <c r="F118" s="3">
        <f>SUM('Ablesewerte Strom'!F107-'Ablesewerte Strom'!E107)</f>
        <v>222.79999999999927</v>
      </c>
      <c r="G118" s="3">
        <f>SUM('Ablesewerte Strom'!G107-'Ablesewerte Strom'!F107)</f>
        <v>162.10000000000036</v>
      </c>
      <c r="H118" s="3">
        <f>SUM('Ablesewerte Strom'!H107-'Ablesewerte Strom'!G107)</f>
        <v>60.199999999999818</v>
      </c>
      <c r="I118" s="3">
        <f>SUM('Ablesewerte Strom'!I107-'Ablesewerte Strom'!H107)</f>
        <v>12.600000000000364</v>
      </c>
      <c r="J118" s="3">
        <f>SUM('Ablesewerte Strom'!J107-'Ablesewerte Strom'!I107)</f>
        <v>6.3000000000001819</v>
      </c>
      <c r="K118" s="3">
        <f>SUM('Ablesewerte Strom'!K107-'Ablesewerte Strom'!J107)</f>
        <v>11</v>
      </c>
      <c r="L118" s="3">
        <f>SUM('Ablesewerte Strom'!L107-'Ablesewerte Strom'!K107)</f>
        <v>14</v>
      </c>
      <c r="M118" s="3">
        <f>SUM('Ablesewerte Strom'!M107-'Ablesewerte Strom'!L107)</f>
        <v>339.59999999999945</v>
      </c>
      <c r="N118" s="3">
        <f>SUM('Ablesewerte Strom'!N107-'Ablesewerte Strom'!M107)</f>
        <v>174</v>
      </c>
      <c r="O118" s="3">
        <f>SUM('Ablesewerte Strom'!O107-'Ablesewerte Strom'!N107)</f>
        <v>126.60000000000036</v>
      </c>
      <c r="P118" s="3">
        <f>SUM(D118:O118)</f>
        <v>1989.6000000000004</v>
      </c>
    </row>
    <row r="119" spans="1:19" x14ac:dyDescent="0.2">
      <c r="A119" t="s">
        <v>53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>
        <v>35401</v>
      </c>
    </row>
    <row r="120" spans="1:19" x14ac:dyDescent="0.2"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>
        <v>9637</v>
      </c>
      <c r="Q120" s="3">
        <f>SUM(D119:O120)</f>
        <v>45038</v>
      </c>
    </row>
    <row r="121" spans="1:19" x14ac:dyDescent="0.2">
      <c r="A121" t="s">
        <v>97</v>
      </c>
      <c r="D121" s="3">
        <f>SUM('Ablesewerte Strom'!D109-'Ablesewerte Strom'!C109)</f>
        <v>1847.9000000000087</v>
      </c>
      <c r="E121" s="3">
        <f>SUM('Ablesewerte Strom'!E109-'Ablesewerte Strom'!D109)</f>
        <v>1206.6999999999971</v>
      </c>
      <c r="F121" s="3">
        <f>SUM('Ablesewerte Strom'!F109-'Ablesewerte Strom'!E109)</f>
        <v>1318.0999999999913</v>
      </c>
      <c r="G121" s="3">
        <f>SUM('Ablesewerte Strom'!G109-'Ablesewerte Strom'!F109)</f>
        <v>1436.7000000000116</v>
      </c>
      <c r="H121" s="3">
        <f>SUM('Ablesewerte Strom'!H109-'Ablesewerte Strom'!G109)</f>
        <v>775.89999999999418</v>
      </c>
      <c r="I121" s="3">
        <f>SUM('Ablesewerte Strom'!I109-'Ablesewerte Strom'!H109)</f>
        <v>1495.5</v>
      </c>
      <c r="J121" s="3">
        <f>SUM('Ablesewerte Strom'!J109-'Ablesewerte Strom'!I109)</f>
        <v>1064.8000000000029</v>
      </c>
      <c r="K121" s="3">
        <f>SUM('Ablesewerte Strom'!K109-'Ablesewerte Strom'!J109)</f>
        <v>330.39999999999418</v>
      </c>
      <c r="L121" s="3">
        <f>SUM('Ablesewerte Strom'!L109-'Ablesewerte Strom'!K109)</f>
        <v>1226</v>
      </c>
      <c r="M121" s="3">
        <f>SUM('Ablesewerte Strom'!M109-'Ablesewerte Strom'!L109)</f>
        <v>1308.3000000000029</v>
      </c>
      <c r="N121" s="3">
        <f>SUM('Ablesewerte Strom'!N109-'Ablesewerte Strom'!M109)</f>
        <v>1167.3999999999942</v>
      </c>
      <c r="O121" s="3">
        <f>SUM('Ablesewerte Strom'!O109-'Ablesewerte Strom'!N109)</f>
        <v>1183.3000000000029</v>
      </c>
      <c r="P121" s="3">
        <f>SUM(D121:O121)</f>
        <v>14361</v>
      </c>
      <c r="Q121" t="s">
        <v>100</v>
      </c>
      <c r="R121" s="20">
        <f>SUM(Q108:Q120)</f>
        <v>226729.1</v>
      </c>
    </row>
    <row r="126" spans="1:19" ht="15.75" x14ac:dyDescent="0.25">
      <c r="A126" s="1">
        <v>2011</v>
      </c>
    </row>
    <row r="127" spans="1:19" ht="15.75" x14ac:dyDescent="0.25">
      <c r="A127" s="1" t="s">
        <v>47</v>
      </c>
      <c r="D127" s="6" t="s">
        <v>6</v>
      </c>
      <c r="E127" s="6" t="s">
        <v>7</v>
      </c>
      <c r="F127" s="6" t="s">
        <v>8</v>
      </c>
      <c r="G127" s="6" t="s">
        <v>9</v>
      </c>
      <c r="H127" s="6" t="s">
        <v>10</v>
      </c>
      <c r="I127" s="6" t="s">
        <v>11</v>
      </c>
      <c r="J127" s="6" t="s">
        <v>12</v>
      </c>
      <c r="K127" s="6" t="s">
        <v>13</v>
      </c>
      <c r="L127" s="6" t="s">
        <v>14</v>
      </c>
      <c r="M127" s="6" t="s">
        <v>15</v>
      </c>
      <c r="N127" s="6" t="s">
        <v>16</v>
      </c>
      <c r="O127" s="6" t="s">
        <v>17</v>
      </c>
    </row>
    <row r="129" spans="1:18" x14ac:dyDescent="0.2">
      <c r="A129" t="s">
        <v>48</v>
      </c>
      <c r="D129" s="3">
        <f>SUM('Ablesewerte Strom'!D117-'Ablesewerte Strom'!C117)</f>
        <v>4235.5999999999767</v>
      </c>
      <c r="E129" s="3">
        <f>SUM('Ablesewerte Strom'!E117-'Ablesewerte Strom'!D117)</f>
        <v>3696</v>
      </c>
      <c r="F129" s="3">
        <f>SUM('Ablesewerte Strom'!F117-'Ablesewerte Strom'!E117)</f>
        <v>4129.3000000000466</v>
      </c>
      <c r="G129" s="3">
        <f>SUM('Ablesewerte Strom'!G117-'Ablesewerte Strom'!F117)</f>
        <v>2594.3999999999651</v>
      </c>
      <c r="H129" s="3">
        <f>SUM('Ablesewerte Strom'!H117-'Ablesewerte Strom'!G117)</f>
        <v>2981.2000000000116</v>
      </c>
      <c r="I129" s="3">
        <f>SUM('Ablesewerte Strom'!I117-'Ablesewerte Strom'!H117)</f>
        <v>1892.7000000000116</v>
      </c>
      <c r="J129" s="3">
        <f>SUM('Ablesewerte Strom'!J117-'Ablesewerte Strom'!I117)</f>
        <v>2355</v>
      </c>
      <c r="K129" s="3">
        <f>SUM('Ablesewerte Strom'!K117-'Ablesewerte Strom'!J117)</f>
        <v>1358.3999999999651</v>
      </c>
      <c r="L129" s="3">
        <f>SUM('Ablesewerte Strom'!L117-'Ablesewerte Strom'!K117)</f>
        <v>2826.2000000000116</v>
      </c>
      <c r="M129" s="3">
        <f>SUM('Ablesewerte Strom'!M117-'Ablesewerte Strom'!L117)</f>
        <v>3481.2000000000116</v>
      </c>
      <c r="N129" s="3">
        <f>SUM('Ablesewerte Strom'!N117-'Ablesewerte Strom'!M117)</f>
        <v>4155.9000000000233</v>
      </c>
      <c r="O129" s="3">
        <f>SUM('Ablesewerte Strom'!O117-'Ablesewerte Strom'!N117)</f>
        <v>3433.8999999999651</v>
      </c>
      <c r="Q129" s="3">
        <f>SUM(D129:O129)</f>
        <v>37139.799999999988</v>
      </c>
    </row>
    <row r="130" spans="1:18" x14ac:dyDescent="0.2">
      <c r="A130" t="s">
        <v>60</v>
      </c>
      <c r="D130" s="3">
        <f>SUM('Ablesewerte Strom'!D118-'Ablesewerte Strom'!C118)</f>
        <v>3042.3000000000175</v>
      </c>
      <c r="E130" s="3">
        <f>SUM('Ablesewerte Strom'!E118-'Ablesewerte Strom'!D118)</f>
        <v>2394.1999999999825</v>
      </c>
      <c r="F130" s="3">
        <f>SUM('Ablesewerte Strom'!F118-'Ablesewerte Strom'!E118)</f>
        <v>2801.7000000000116</v>
      </c>
      <c r="G130" s="3">
        <f>SUM('Ablesewerte Strom'!G118-'Ablesewerte Strom'!F118)</f>
        <v>-150164.1</v>
      </c>
      <c r="H130" s="3">
        <f>SUM('Ablesewerte Strom'!H118-'Ablesewerte Strom'!G118)</f>
        <v>153784.4</v>
      </c>
      <c r="I130" s="3">
        <f>SUM('Ablesewerte Strom'!I118-'Ablesewerte Strom'!H118)</f>
        <v>1112.7000000000116</v>
      </c>
      <c r="J130" s="3">
        <f>SUM('Ablesewerte Strom'!J118-'Ablesewerte Strom'!I118)</f>
        <v>1429.7999999999884</v>
      </c>
      <c r="K130" s="3">
        <f>SUM('Ablesewerte Strom'!K118-'Ablesewerte Strom'!J118)</f>
        <v>782.70000000001164</v>
      </c>
      <c r="L130" s="3">
        <f>SUM('Ablesewerte Strom'!L118-'Ablesewerte Strom'!K118)</f>
        <v>1768.1000000000058</v>
      </c>
      <c r="M130" s="3">
        <f>SUM('Ablesewerte Strom'!M118-'Ablesewerte Strom'!L118)</f>
        <v>2288.5999999999767</v>
      </c>
      <c r="N130" s="3">
        <f>SUM('Ablesewerte Strom'!N118-'Ablesewerte Strom'!M118)</f>
        <v>2920.4000000000233</v>
      </c>
      <c r="O130" s="3">
        <f>SUM('Ablesewerte Strom'!O118-'Ablesewerte Strom'!N118)</f>
        <v>2352.5999999999767</v>
      </c>
      <c r="Q130" s="3">
        <f>SUM(D130:O130)</f>
        <v>24513.399999999994</v>
      </c>
    </row>
    <row r="131" spans="1:18" x14ac:dyDescent="0.2">
      <c r="A131" t="s">
        <v>49</v>
      </c>
      <c r="D131" s="3">
        <f>SUM('Ablesewerte Strom'!D119-'Ablesewerte Strom'!C119)</f>
        <v>70.799999999995634</v>
      </c>
      <c r="E131" s="3">
        <f>SUM('Ablesewerte Strom'!E119-'Ablesewerte Strom'!D119)</f>
        <v>51.900000000001455</v>
      </c>
      <c r="F131" s="3">
        <f>SUM('Ablesewerte Strom'!F119-'Ablesewerte Strom'!E119)</f>
        <v>35.900000000001455</v>
      </c>
      <c r="G131" s="3">
        <f>SUM('Ablesewerte Strom'!G119-'Ablesewerte Strom'!F119)</f>
        <v>23.80000000000291</v>
      </c>
      <c r="H131" s="3">
        <f>SUM('Ablesewerte Strom'!H119-'Ablesewerte Strom'!G119)</f>
        <v>35.19999999999709</v>
      </c>
      <c r="I131" s="3">
        <f>SUM('Ablesewerte Strom'!I119-'Ablesewerte Strom'!H119)</f>
        <v>2.1999999999970896</v>
      </c>
      <c r="J131" s="3">
        <f>SUM('Ablesewerte Strom'!J119-'Ablesewerte Strom'!I119)</f>
        <v>3.2000000000043656</v>
      </c>
      <c r="K131" s="3">
        <f>SUM('Ablesewerte Strom'!K119-'Ablesewerte Strom'!J119)</f>
        <v>0.40000000000145519</v>
      </c>
      <c r="L131" s="3">
        <f>SUM('Ablesewerte Strom'!L119-'Ablesewerte Strom'!K119)</f>
        <v>35.19999999999709</v>
      </c>
      <c r="M131" s="3">
        <f>SUM('Ablesewerte Strom'!M119-'Ablesewerte Strom'!L119)</f>
        <v>63.30000000000291</v>
      </c>
      <c r="N131" s="3">
        <f>SUM('Ablesewerte Strom'!N119-'Ablesewerte Strom'!M119)</f>
        <v>81</v>
      </c>
      <c r="O131" s="3">
        <f>SUM('Ablesewerte Strom'!O119-'Ablesewerte Strom'!N119)</f>
        <v>57.69999999999709</v>
      </c>
      <c r="Q131" s="3">
        <f>SUM(D131:O131)</f>
        <v>460.59999999999854</v>
      </c>
    </row>
    <row r="132" spans="1:18" x14ac:dyDescent="0.2">
      <c r="A132" t="s">
        <v>50</v>
      </c>
      <c r="D132" s="3">
        <f>SUM('Ablesewerte Strom'!D120-'Ablesewerte Strom'!C120)</f>
        <v>185.59999999999854</v>
      </c>
      <c r="E132" s="3">
        <f>SUM('Ablesewerte Strom'!E120-'Ablesewerte Strom'!D120)</f>
        <v>164.80000000000291</v>
      </c>
      <c r="F132" s="3">
        <f>SUM('Ablesewerte Strom'!F120-'Ablesewerte Strom'!E120)</f>
        <v>142</v>
      </c>
      <c r="G132" s="3">
        <f>SUM('Ablesewerte Strom'!G120-'Ablesewerte Strom'!F120)</f>
        <v>118.69999999999709</v>
      </c>
      <c r="H132" s="3">
        <f>SUM('Ablesewerte Strom'!H120-'Ablesewerte Strom'!G120)</f>
        <v>110.59999999999854</v>
      </c>
      <c r="I132" s="3">
        <f>SUM('Ablesewerte Strom'!I120-'Ablesewerte Strom'!H120)</f>
        <v>106.70000000000437</v>
      </c>
      <c r="J132" s="3">
        <f>SUM('Ablesewerte Strom'!J120-'Ablesewerte Strom'!I120)</f>
        <v>111.59999999999854</v>
      </c>
      <c r="K132" s="3">
        <f>SUM('Ablesewerte Strom'!K120-'Ablesewerte Strom'!J120)</f>
        <v>108.69999999999709</v>
      </c>
      <c r="L132" s="3">
        <f>SUM('Ablesewerte Strom'!L120-'Ablesewerte Strom'!K120)</f>
        <v>118.30000000000291</v>
      </c>
      <c r="M132" s="3">
        <f>SUM('Ablesewerte Strom'!M120-'Ablesewerte Strom'!L120)</f>
        <v>111.5</v>
      </c>
      <c r="N132" s="3">
        <f>SUM('Ablesewerte Strom'!N120-'Ablesewerte Strom'!M120)</f>
        <v>119.19999999999709</v>
      </c>
      <c r="O132" s="3">
        <f>SUM('Ablesewerte Strom'!O120-'Ablesewerte Strom'!N120)</f>
        <v>118</v>
      </c>
      <c r="Q132" s="3">
        <f>SUM(D132:O132)</f>
        <v>1515.6999999999971</v>
      </c>
    </row>
    <row r="133" spans="1:18" x14ac:dyDescent="0.2">
      <c r="A133" t="s">
        <v>52</v>
      </c>
      <c r="D133" s="5" t="s">
        <v>35</v>
      </c>
      <c r="E133" s="5" t="s">
        <v>35</v>
      </c>
      <c r="F133" s="5" t="s">
        <v>35</v>
      </c>
      <c r="G133" s="5" t="s">
        <v>35</v>
      </c>
      <c r="H133" s="5" t="s">
        <v>35</v>
      </c>
      <c r="I133" s="5" t="s">
        <v>35</v>
      </c>
      <c r="J133" s="5" t="s">
        <v>35</v>
      </c>
      <c r="K133" s="5" t="s">
        <v>35</v>
      </c>
      <c r="L133" s="5" t="s">
        <v>35</v>
      </c>
      <c r="M133" s="5" t="s">
        <v>35</v>
      </c>
      <c r="N133" s="5" t="s">
        <v>35</v>
      </c>
      <c r="O133" s="5" t="s">
        <v>35</v>
      </c>
    </row>
    <row r="134" spans="1:18" x14ac:dyDescent="0.2">
      <c r="D134" s="5" t="s">
        <v>35</v>
      </c>
      <c r="E134" s="5" t="s">
        <v>35</v>
      </c>
      <c r="F134" s="5" t="s">
        <v>35</v>
      </c>
      <c r="G134" s="5" t="s">
        <v>35</v>
      </c>
      <c r="H134" s="5" t="s">
        <v>35</v>
      </c>
      <c r="I134" s="5" t="s">
        <v>35</v>
      </c>
      <c r="J134" s="5" t="s">
        <v>35</v>
      </c>
      <c r="K134" s="5" t="s">
        <v>35</v>
      </c>
      <c r="L134" s="5" t="s">
        <v>35</v>
      </c>
      <c r="M134" s="5" t="s">
        <v>35</v>
      </c>
      <c r="N134" s="5" t="s">
        <v>35</v>
      </c>
      <c r="O134" s="5" t="s">
        <v>35</v>
      </c>
      <c r="Q134" s="3">
        <f>SUM(D133:O134)</f>
        <v>0</v>
      </c>
    </row>
    <row r="135" spans="1:18" x14ac:dyDescent="0.2">
      <c r="A135" t="s">
        <v>92</v>
      </c>
      <c r="D135" s="3">
        <f>SUM('Ablesewerte Strom'!D122-'Ablesewerte Strom'!C122)</f>
        <v>65.059999999999945</v>
      </c>
      <c r="E135" s="3">
        <f>SUM('Ablesewerte Strom'!E122-'Ablesewerte Strom'!D122)</f>
        <v>77.480000000000018</v>
      </c>
      <c r="F135" s="3">
        <f>SUM('Ablesewerte Strom'!F122-'Ablesewerte Strom'!E122)</f>
        <v>70.220000000000255</v>
      </c>
      <c r="G135" s="3">
        <f>SUM('Ablesewerte Strom'!G122-'Ablesewerte Strom'!F122)</f>
        <v>47.460000000000036</v>
      </c>
      <c r="H135" s="3">
        <f>SUM('Ablesewerte Strom'!H122-'Ablesewerte Strom'!G122)</f>
        <v>78.679999999999382</v>
      </c>
      <c r="I135" s="3">
        <f>SUM('Ablesewerte Strom'!I122-'Ablesewerte Strom'!H122)</f>
        <v>48.590000000000146</v>
      </c>
      <c r="J135" s="3">
        <f>SUM('Ablesewerte Strom'!J122-'Ablesewerte Strom'!I122)</f>
        <v>64.909999999999854</v>
      </c>
      <c r="K135" s="3">
        <f>SUM('Ablesewerte Strom'!K122-'Ablesewerte Strom'!J122)</f>
        <v>60.579999999999927</v>
      </c>
      <c r="L135" s="3">
        <f>SUM('Ablesewerte Strom'!L122-'Ablesewerte Strom'!K122)</f>
        <v>64.640000000000327</v>
      </c>
      <c r="M135" s="3">
        <f>SUM('Ablesewerte Strom'!M122-'Ablesewerte Strom'!L122)</f>
        <v>74.390000000000327</v>
      </c>
      <c r="N135" s="3">
        <f>SUM('Ablesewerte Strom'!N122-'Ablesewerte Strom'!M122)</f>
        <v>70.699999999999818</v>
      </c>
      <c r="O135" s="3">
        <f>SUM('Ablesewerte Strom'!O122-'Ablesewerte Strom'!N122)</f>
        <v>65.170000000000073</v>
      </c>
      <c r="P135" s="3">
        <f>SUM(D135:O135)</f>
        <v>787.88000000000011</v>
      </c>
    </row>
    <row r="136" spans="1:18" x14ac:dyDescent="0.2">
      <c r="A136" t="s">
        <v>93</v>
      </c>
      <c r="D136" s="3">
        <f>SUM('Ablesewerte Strom'!D123-'Ablesewerte Strom'!C123)</f>
        <v>31.019999999999982</v>
      </c>
      <c r="E136" s="3">
        <f>SUM('Ablesewerte Strom'!E123-'Ablesewerte Strom'!D123)</f>
        <v>32.370000000000118</v>
      </c>
      <c r="F136" s="3">
        <f>SUM('Ablesewerte Strom'!F123-'Ablesewerte Strom'!E123)</f>
        <v>27.009999999999991</v>
      </c>
      <c r="G136" s="3">
        <f>SUM('Ablesewerte Strom'!G123-'Ablesewerte Strom'!F123)</f>
        <v>20.049999999999955</v>
      </c>
      <c r="H136" s="3">
        <f>SUM('Ablesewerte Strom'!H123-'Ablesewerte Strom'!G123)</f>
        <v>25.619999999999891</v>
      </c>
      <c r="I136" s="3">
        <f>SUM('Ablesewerte Strom'!I123-'Ablesewerte Strom'!H123)</f>
        <v>17.630000000000109</v>
      </c>
      <c r="J136" s="3">
        <f>SUM('Ablesewerte Strom'!J123-'Ablesewerte Strom'!I123)</f>
        <v>22.339999999999918</v>
      </c>
      <c r="K136" s="3">
        <f>SUM('Ablesewerte Strom'!K123-'Ablesewerte Strom'!J123)</f>
        <v>14.560000000000173</v>
      </c>
      <c r="L136" s="3">
        <f>SUM('Ablesewerte Strom'!L123-'Ablesewerte Strom'!K123)</f>
        <v>23</v>
      </c>
      <c r="M136" s="3">
        <f>SUM('Ablesewerte Strom'!M123-'Ablesewerte Strom'!L123)</f>
        <v>27.679999999999836</v>
      </c>
      <c r="N136" s="3">
        <f>SUM('Ablesewerte Strom'!N123-'Ablesewerte Strom'!M123)</f>
        <v>28.430000000000291</v>
      </c>
      <c r="O136" s="3">
        <f>SUM('Ablesewerte Strom'!O123-'Ablesewerte Strom'!N123)</f>
        <v>24.599999999999909</v>
      </c>
      <c r="P136" s="3">
        <f>SUM(D136:O136)</f>
        <v>294.31000000000017</v>
      </c>
    </row>
    <row r="137" spans="1:18" x14ac:dyDescent="0.2">
      <c r="A137" t="s">
        <v>94</v>
      </c>
      <c r="D137" s="3">
        <f>SUM('Ablesewerte Strom'!D124-'Ablesewerte Strom'!C124)</f>
        <v>1113.1999999999971</v>
      </c>
      <c r="E137" s="3">
        <f>SUM('Ablesewerte Strom'!E124-'Ablesewerte Strom'!D124)</f>
        <v>1283.7000000000116</v>
      </c>
      <c r="F137" s="3">
        <f>SUM('Ablesewerte Strom'!F124-'Ablesewerte Strom'!E124)</f>
        <v>1034.3999999999942</v>
      </c>
      <c r="G137" s="3">
        <f>SUM('Ablesewerte Strom'!G124-'Ablesewerte Strom'!F124)</f>
        <v>646.80000000000291</v>
      </c>
      <c r="H137" s="3">
        <f>SUM('Ablesewerte Strom'!H124-'Ablesewerte Strom'!G124)</f>
        <v>827</v>
      </c>
      <c r="I137" s="3">
        <f>SUM('Ablesewerte Strom'!I124-'Ablesewerte Strom'!H124)</f>
        <v>558.5</v>
      </c>
      <c r="J137" s="3">
        <f>SUM('Ablesewerte Strom'!J124-'Ablesewerte Strom'!I124)</f>
        <v>595</v>
      </c>
      <c r="K137" s="3">
        <f>SUM('Ablesewerte Strom'!K124-'Ablesewerte Strom'!J124)</f>
        <v>397.89999999999418</v>
      </c>
      <c r="L137" s="3">
        <f>SUM('Ablesewerte Strom'!L124-'Ablesewerte Strom'!K124)</f>
        <v>672.30000000000291</v>
      </c>
      <c r="M137" s="3">
        <f>SUM('Ablesewerte Strom'!M124-'Ablesewerte Strom'!L124)</f>
        <v>1012.3999999999942</v>
      </c>
      <c r="N137" s="3">
        <f>SUM('Ablesewerte Strom'!N124-'Ablesewerte Strom'!M124)</f>
        <v>1114.5</v>
      </c>
      <c r="O137" s="3">
        <f>SUM('Ablesewerte Strom'!O124-'Ablesewerte Strom'!N124)</f>
        <v>958.40000000000873</v>
      </c>
      <c r="P137" s="3">
        <f>SUM(D137:O137)</f>
        <v>10214.100000000006</v>
      </c>
    </row>
    <row r="138" spans="1:18" x14ac:dyDescent="0.2">
      <c r="A138" t="s">
        <v>95</v>
      </c>
      <c r="D138" s="3">
        <f>SUM('Ablesewerte Strom'!D125-'Ablesewerte Strom'!C125)</f>
        <v>202.5</v>
      </c>
      <c r="E138" s="3">
        <f>SUM('Ablesewerte Strom'!E125-'Ablesewerte Strom'!D125)</f>
        <v>389.59999999999991</v>
      </c>
      <c r="F138" s="3">
        <f>SUM('Ablesewerte Strom'!F125-'Ablesewerte Strom'!E125)</f>
        <v>427.40000000000009</v>
      </c>
      <c r="G138" s="3">
        <f>SUM('Ablesewerte Strom'!G125-'Ablesewerte Strom'!F125)</f>
        <v>17</v>
      </c>
      <c r="H138" s="3">
        <f>SUM('Ablesewerte Strom'!H125-'Ablesewerte Strom'!G125)</f>
        <v>1.3999999999996362</v>
      </c>
      <c r="I138" s="3">
        <f>SUM('Ablesewerte Strom'!I125-'Ablesewerte Strom'!H125)</f>
        <v>1.1999999999998181</v>
      </c>
      <c r="J138" s="3">
        <f>SUM('Ablesewerte Strom'!J125-'Ablesewerte Strom'!I125)</f>
        <v>5.2000000000007276</v>
      </c>
      <c r="K138" s="3">
        <f>SUM('Ablesewerte Strom'!K125-'Ablesewerte Strom'!J125)</f>
        <v>2.7999999999992724</v>
      </c>
      <c r="L138" s="3">
        <f>SUM('Ablesewerte Strom'!L125-'Ablesewerte Strom'!K125)</f>
        <v>1.4000000000005457</v>
      </c>
      <c r="M138" s="3">
        <f>SUM('Ablesewerte Strom'!M125-'Ablesewerte Strom'!L125)</f>
        <v>122.09999999999945</v>
      </c>
      <c r="N138" s="3">
        <f>SUM('Ablesewerte Strom'!N125-'Ablesewerte Strom'!M125)</f>
        <v>453</v>
      </c>
      <c r="O138" s="3">
        <f>SUM('Ablesewerte Strom'!O125-'Ablesewerte Strom'!N125)</f>
        <v>166.70000000000073</v>
      </c>
      <c r="P138" s="3">
        <f>SUM(D138:O138)</f>
        <v>1790.3000000000002</v>
      </c>
    </row>
    <row r="139" spans="1:18" x14ac:dyDescent="0.2">
      <c r="A139" t="s">
        <v>96</v>
      </c>
      <c r="D139" s="3">
        <f>SUM('Ablesewerte Strom'!D126-'Ablesewerte Strom'!C126)</f>
        <v>313.80000000000018</v>
      </c>
      <c r="E139" s="3">
        <f>SUM('Ablesewerte Strom'!E126-'Ablesewerte Strom'!D126)</f>
        <v>441.29999999999927</v>
      </c>
      <c r="F139" s="3">
        <f>SUM('Ablesewerte Strom'!F126-'Ablesewerte Strom'!E126)</f>
        <v>98.300000000000182</v>
      </c>
      <c r="G139" s="3">
        <f>SUM('Ablesewerte Strom'!G126-'Ablesewerte Strom'!F126)</f>
        <v>5.6999999999998181</v>
      </c>
      <c r="H139" s="3">
        <f>SUM('Ablesewerte Strom'!H126-'Ablesewerte Strom'!G126)</f>
        <v>11.600000000000364</v>
      </c>
      <c r="I139" s="3">
        <f>SUM('Ablesewerte Strom'!I126-'Ablesewerte Strom'!H126)</f>
        <v>3.6000000000003638</v>
      </c>
      <c r="J139" s="3">
        <f>SUM('Ablesewerte Strom'!J126-'Ablesewerte Strom'!I126)</f>
        <v>9.0999999999994543</v>
      </c>
      <c r="K139" s="3">
        <f>SUM('Ablesewerte Strom'!K126-'Ablesewerte Strom'!J126)</f>
        <v>4.1999999999998181</v>
      </c>
      <c r="L139" s="3">
        <f>SUM('Ablesewerte Strom'!L126-'Ablesewerte Strom'!K126)</f>
        <v>3.6000000000003638</v>
      </c>
      <c r="M139" s="3">
        <f>SUM('Ablesewerte Strom'!M126-'Ablesewerte Strom'!L126)</f>
        <v>102.80000000000018</v>
      </c>
      <c r="N139" s="3">
        <f>SUM('Ablesewerte Strom'!N126-'Ablesewerte Strom'!M126)</f>
        <v>324.69999999999982</v>
      </c>
      <c r="O139" s="3">
        <f>SUM('Ablesewerte Strom'!O126-'Ablesewerte Strom'!N126)</f>
        <v>271.80000000000018</v>
      </c>
      <c r="P139" s="3">
        <f>SUM(D139:O139)</f>
        <v>1590.5</v>
      </c>
    </row>
    <row r="140" spans="1:18" x14ac:dyDescent="0.2">
      <c r="A140" t="s">
        <v>53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8" x14ac:dyDescent="0.2"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Q141" s="3">
        <f>SUM(D140:O141)</f>
        <v>0</v>
      </c>
    </row>
    <row r="142" spans="1:18" x14ac:dyDescent="0.2">
      <c r="A142" t="s">
        <v>97</v>
      </c>
      <c r="D142" s="3">
        <f>SUM('Ablesewerte Strom'!D128-'Ablesewerte Strom'!C128)</f>
        <v>1213.9000000000087</v>
      </c>
      <c r="E142" s="3">
        <f>SUM('Ablesewerte Strom'!E128-'Ablesewerte Strom'!D128)</f>
        <v>1150.7999999999884</v>
      </c>
      <c r="F142" s="3">
        <f>SUM('Ablesewerte Strom'!F128-'Ablesewerte Strom'!E128)</f>
        <v>1211.9000000000087</v>
      </c>
      <c r="G142" s="3">
        <f>SUM('Ablesewerte Strom'!G128-'Ablesewerte Strom'!F128)</f>
        <v>1068</v>
      </c>
      <c r="H142" s="3">
        <f>SUM('Ablesewerte Strom'!H128-'Ablesewerte Strom'!G128)</f>
        <v>1060</v>
      </c>
      <c r="I142" s="3">
        <f>SUM('Ablesewerte Strom'!I128-'Ablesewerte Strom'!H128)</f>
        <v>756</v>
      </c>
      <c r="J142" s="3">
        <f>SUM('Ablesewerte Strom'!J128-'Ablesewerte Strom'!I128)</f>
        <v>955.5</v>
      </c>
      <c r="K142" s="3">
        <f>SUM('Ablesewerte Strom'!K128-'Ablesewerte Strom'!J128)</f>
        <v>525.09999999999127</v>
      </c>
      <c r="L142" s="3">
        <f>SUM('Ablesewerte Strom'!L128-'Ablesewerte Strom'!K128)</f>
        <v>866.5</v>
      </c>
      <c r="M142" s="3">
        <f>SUM('Ablesewerte Strom'!M128-'Ablesewerte Strom'!L128)</f>
        <v>1250.2000000000116</v>
      </c>
      <c r="N142" s="3">
        <f>SUM('Ablesewerte Strom'!N128-'Ablesewerte Strom'!M128)</f>
        <v>1287.5</v>
      </c>
      <c r="O142" s="3">
        <f>SUM('Ablesewerte Strom'!O128-'Ablesewerte Strom'!N128)</f>
        <v>1128.5999999999913</v>
      </c>
      <c r="P142" s="3">
        <f>SUM(D142:O142)</f>
        <v>12474</v>
      </c>
      <c r="Q142" t="s">
        <v>100</v>
      </c>
      <c r="R142" s="20">
        <f>SUM(Q129:Q141)</f>
        <v>63629.499999999978</v>
      </c>
    </row>
    <row r="147" spans="1:17" ht="15.75" x14ac:dyDescent="0.25">
      <c r="A147" s="1">
        <v>2012</v>
      </c>
    </row>
    <row r="148" spans="1:17" ht="15.75" x14ac:dyDescent="0.25">
      <c r="A148" s="1" t="s">
        <v>47</v>
      </c>
      <c r="D148" s="6" t="s">
        <v>6</v>
      </c>
      <c r="E148" s="6" t="s">
        <v>7</v>
      </c>
      <c r="F148" s="6" t="s">
        <v>8</v>
      </c>
      <c r="G148" s="6" t="s">
        <v>9</v>
      </c>
      <c r="H148" s="6" t="s">
        <v>10</v>
      </c>
      <c r="I148" s="6" t="s">
        <v>11</v>
      </c>
      <c r="J148" s="6" t="s">
        <v>12</v>
      </c>
      <c r="K148" s="6" t="s">
        <v>13</v>
      </c>
      <c r="L148" s="6" t="s">
        <v>14</v>
      </c>
      <c r="M148" s="6" t="s">
        <v>15</v>
      </c>
      <c r="N148" s="6" t="s">
        <v>16</v>
      </c>
      <c r="O148" s="6" t="s">
        <v>17</v>
      </c>
    </row>
    <row r="150" spans="1:17" x14ac:dyDescent="0.2">
      <c r="A150" t="s">
        <v>48</v>
      </c>
      <c r="D150" s="3">
        <f>SUM('Ablesewerte Strom'!D136-'Ablesewerte Strom'!C136)</f>
        <v>4443</v>
      </c>
      <c r="E150" s="3">
        <f>SUM('Ablesewerte Strom'!E136-'Ablesewerte Strom'!D136)</f>
        <v>3674.7999999999884</v>
      </c>
      <c r="F150" s="3">
        <f>SUM('Ablesewerte Strom'!F136-'Ablesewerte Strom'!E136)</f>
        <v>4030.7000000000116</v>
      </c>
      <c r="G150" s="3">
        <f>SUM('Ablesewerte Strom'!G136-'Ablesewerte Strom'!F136)</f>
        <v>2651.6000000000349</v>
      </c>
      <c r="H150" s="3">
        <f>SUM('Ablesewerte Strom'!H136-'Ablesewerte Strom'!G136)</f>
        <v>2721.3999999999651</v>
      </c>
      <c r="I150" s="3">
        <f>SUM('Ablesewerte Strom'!I136-'Ablesewerte Strom'!H136)</f>
        <v>2075</v>
      </c>
      <c r="J150" s="3">
        <f>SUM('Ablesewerte Strom'!J136-'Ablesewerte Strom'!I136)</f>
        <v>1894.9000000000233</v>
      </c>
      <c r="K150" s="3">
        <f>SUM('Ablesewerte Strom'!K136-'Ablesewerte Strom'!J136)</f>
        <v>1640.7999999999884</v>
      </c>
      <c r="L150" s="3">
        <f>SUM('Ablesewerte Strom'!L136-'Ablesewerte Strom'!K136)</f>
        <v>2655.2999999999884</v>
      </c>
      <c r="M150" s="3">
        <f>SUM('Ablesewerte Strom'!M136-'Ablesewerte Strom'!L136)</f>
        <v>3777.6000000000349</v>
      </c>
      <c r="N150" s="3">
        <f>SUM('Ablesewerte Strom'!N136-'Ablesewerte Strom'!M136)</f>
        <v>3733.2999999999884</v>
      </c>
      <c r="O150" s="3">
        <f>SUM('Ablesewerte Strom'!O136-'Ablesewerte Strom'!N136)</f>
        <v>3898.5</v>
      </c>
      <c r="Q150" s="3">
        <f>SUM(D150:O150)</f>
        <v>37196.900000000023</v>
      </c>
    </row>
    <row r="151" spans="1:17" x14ac:dyDescent="0.2">
      <c r="A151" t="s">
        <v>60</v>
      </c>
      <c r="D151" s="3">
        <f>SUM('Ablesewerte Strom'!D137-'Ablesewerte Strom'!C137)</f>
        <v>3227.2000000000116</v>
      </c>
      <c r="E151" s="3">
        <f>SUM('Ablesewerte Strom'!E137-'Ablesewerte Strom'!D137)</f>
        <v>2561</v>
      </c>
      <c r="F151" s="3">
        <f>SUM('Ablesewerte Strom'!F137-'Ablesewerte Strom'!E137)</f>
        <v>2844.3999999999942</v>
      </c>
      <c r="G151" s="3">
        <f>SUM('Ablesewerte Strom'!G137-'Ablesewerte Strom'!F137)</f>
        <v>1816.5</v>
      </c>
      <c r="H151" s="3">
        <f>SUM('Ablesewerte Strom'!H137-'Ablesewerte Strom'!G137)</f>
        <v>1702</v>
      </c>
      <c r="I151" s="3">
        <f>SUM('Ablesewerte Strom'!I137-'Ablesewerte Strom'!H137)</f>
        <v>1155.1000000000058</v>
      </c>
      <c r="J151" s="3">
        <f>SUM('Ablesewerte Strom'!J137-'Ablesewerte Strom'!I137)</f>
        <v>1114.7999999999884</v>
      </c>
      <c r="K151" s="3">
        <f>SUM('Ablesewerte Strom'!K137-'Ablesewerte Strom'!J137)</f>
        <v>1118.1000000000058</v>
      </c>
      <c r="L151" s="3">
        <f>SUM('Ablesewerte Strom'!L137-'Ablesewerte Strom'!K137)</f>
        <v>1815.3999999999942</v>
      </c>
      <c r="M151" s="3">
        <f>SUM('Ablesewerte Strom'!M137-'Ablesewerte Strom'!L137)</f>
        <v>2646.9000000000233</v>
      </c>
      <c r="N151" s="3">
        <f>SUM('Ablesewerte Strom'!N137-'Ablesewerte Strom'!M137)</f>
        <v>2719.3999999999942</v>
      </c>
      <c r="O151" s="3">
        <f>SUM('Ablesewerte Strom'!O137-'Ablesewerte Strom'!N137)</f>
        <v>2876.1000000000058</v>
      </c>
      <c r="Q151" s="3">
        <f>SUM(D151:O151)</f>
        <v>25596.900000000023</v>
      </c>
    </row>
    <row r="152" spans="1:17" x14ac:dyDescent="0.2">
      <c r="A152" t="s">
        <v>49</v>
      </c>
      <c r="D152" s="3">
        <f>SUM('Ablesewerte Strom'!D138-'Ablesewerte Strom'!C138)</f>
        <v>80</v>
      </c>
      <c r="E152" s="3">
        <f>SUM('Ablesewerte Strom'!E138-'Ablesewerte Strom'!D138)</f>
        <v>64</v>
      </c>
      <c r="F152" s="3">
        <f>SUM('Ablesewerte Strom'!F138-'Ablesewerte Strom'!E138)</f>
        <v>57</v>
      </c>
      <c r="G152" s="3">
        <f>SUM('Ablesewerte Strom'!G138-'Ablesewerte Strom'!F138)</f>
        <v>23.5</v>
      </c>
      <c r="H152" s="3">
        <f>SUM('Ablesewerte Strom'!H138-'Ablesewerte Strom'!G138)</f>
        <v>32.5</v>
      </c>
      <c r="I152" s="3">
        <f>SUM('Ablesewerte Strom'!I138-'Ablesewerte Strom'!H138)</f>
        <v>99.900000000001455</v>
      </c>
      <c r="J152" s="3">
        <f>SUM('Ablesewerte Strom'!J138-'Ablesewerte Strom'!I138)</f>
        <v>2.7999999999956344</v>
      </c>
      <c r="K152" s="3">
        <f>SUM('Ablesewerte Strom'!K138-'Ablesewerte Strom'!J138)</f>
        <v>0</v>
      </c>
      <c r="L152" s="3">
        <f>SUM('Ablesewerte Strom'!L138-'Ablesewerte Strom'!K138)</f>
        <v>58.5</v>
      </c>
      <c r="M152" s="3">
        <f>SUM('Ablesewerte Strom'!M138-'Ablesewerte Strom'!L138)</f>
        <v>61.600000000005821</v>
      </c>
      <c r="N152" s="3">
        <f>SUM('Ablesewerte Strom'!N139-'Ablesewerte Strom'!M138)</f>
        <v>12041.299999999996</v>
      </c>
      <c r="O152" s="3">
        <f>SUM('Ablesewerte Strom'!O138-'Ablesewerte Strom'!N139)</f>
        <v>-11972.900000000001</v>
      </c>
      <c r="Q152" s="3">
        <f>SUM(D152:O152)</f>
        <v>548.19999999999709</v>
      </c>
    </row>
    <row r="153" spans="1:17" x14ac:dyDescent="0.2">
      <c r="A153" t="s">
        <v>50</v>
      </c>
      <c r="D153" s="3">
        <f>SUM('Ablesewerte Strom'!D139-'Ablesewerte Strom'!C139)</f>
        <v>158.80000000000291</v>
      </c>
      <c r="E153" s="3">
        <f>SUM('Ablesewerte Strom'!E139-'Ablesewerte Strom'!D139)</f>
        <v>123.5</v>
      </c>
      <c r="F153" s="3">
        <f>SUM('Ablesewerte Strom'!F139-'Ablesewerte Strom'!E139)</f>
        <v>144.09999999999854</v>
      </c>
      <c r="G153" s="3">
        <f>SUM('Ablesewerte Strom'!G139-'Ablesewerte Strom'!F139)</f>
        <v>120.70000000000437</v>
      </c>
      <c r="H153" s="3">
        <f>SUM('Ablesewerte Strom'!H139-'Ablesewerte Strom'!G139)</f>
        <v>115.29999999999563</v>
      </c>
      <c r="I153" s="3">
        <f>SUM('Ablesewerte Strom'!I139-'Ablesewerte Strom'!H139)</f>
        <v>115.20000000000437</v>
      </c>
      <c r="J153" s="3">
        <f>SUM('Ablesewerte Strom'!J139-'Ablesewerte Strom'!I139)</f>
        <v>118.79999999999563</v>
      </c>
      <c r="K153" s="3">
        <f>SUM('Ablesewerte Strom'!K139-'Ablesewerte Strom'!J139)</f>
        <v>133.20000000000437</v>
      </c>
      <c r="L153" s="3">
        <f>SUM('Ablesewerte Strom'!L139-'Ablesewerte Strom'!K139)</f>
        <v>101.19999999999709</v>
      </c>
      <c r="M153" s="3">
        <f>SUM('Ablesewerte Strom'!M139-'Ablesewerte Strom'!L139)</f>
        <v>144.19999999999709</v>
      </c>
      <c r="N153" s="3">
        <f>SUM('Ablesewerte Strom'!N139-'Ablesewerte Strom'!M139)</f>
        <v>119.40000000000146</v>
      </c>
      <c r="O153" s="3">
        <f>SUM('Ablesewerte Strom'!O139-'Ablesewerte Strom'!N139)</f>
        <v>148.5</v>
      </c>
      <c r="Q153" s="3">
        <f>SUM(D153:O153)</f>
        <v>1542.9000000000015</v>
      </c>
    </row>
    <row r="154" spans="1:17" x14ac:dyDescent="0.2">
      <c r="A154" t="s">
        <v>52</v>
      </c>
      <c r="D154" s="5" t="s">
        <v>35</v>
      </c>
      <c r="E154" s="5" t="s">
        <v>35</v>
      </c>
      <c r="F154" s="5" t="s">
        <v>35</v>
      </c>
      <c r="G154" s="5" t="s">
        <v>35</v>
      </c>
      <c r="H154" s="5" t="s">
        <v>35</v>
      </c>
      <c r="I154" s="5" t="s">
        <v>35</v>
      </c>
      <c r="J154" s="5" t="s">
        <v>35</v>
      </c>
      <c r="K154" s="5" t="s">
        <v>35</v>
      </c>
      <c r="L154" s="5" t="s">
        <v>35</v>
      </c>
      <c r="M154" s="5" t="s">
        <v>35</v>
      </c>
      <c r="N154" s="5" t="s">
        <v>35</v>
      </c>
      <c r="O154" s="5" t="s">
        <v>35</v>
      </c>
    </row>
    <row r="155" spans="1:17" x14ac:dyDescent="0.2">
      <c r="D155" s="5" t="s">
        <v>35</v>
      </c>
      <c r="E155" s="5" t="s">
        <v>35</v>
      </c>
      <c r="F155" s="5" t="s">
        <v>35</v>
      </c>
      <c r="G155" s="5" t="s">
        <v>35</v>
      </c>
      <c r="H155" s="5" t="s">
        <v>35</v>
      </c>
      <c r="I155" s="5" t="s">
        <v>35</v>
      </c>
      <c r="J155" s="5" t="s">
        <v>35</v>
      </c>
      <c r="K155" s="5" t="s">
        <v>35</v>
      </c>
      <c r="L155" s="5" t="s">
        <v>35</v>
      </c>
      <c r="M155" s="5" t="s">
        <v>35</v>
      </c>
      <c r="N155" s="5" t="s">
        <v>35</v>
      </c>
      <c r="O155" s="5" t="s">
        <v>35</v>
      </c>
      <c r="Q155" s="3">
        <f>SUM(D154:O155)</f>
        <v>0</v>
      </c>
    </row>
    <row r="156" spans="1:17" x14ac:dyDescent="0.2">
      <c r="A156" t="s">
        <v>92</v>
      </c>
      <c r="D156" s="3">
        <f>SUM('Ablesewerte Strom'!D141-'Ablesewerte Strom'!C141)</f>
        <v>69.269999999999527</v>
      </c>
      <c r="E156" s="3">
        <f>SUM('Ablesewerte Strom'!E141-'Ablesewerte Strom'!D141)</f>
        <v>64.380000000000109</v>
      </c>
      <c r="F156" s="3">
        <f>SUM('Ablesewerte Strom'!F141-'Ablesewerte Strom'!E141)</f>
        <v>80.739999999999782</v>
      </c>
      <c r="G156" s="3">
        <f>SUM('Ablesewerte Strom'!G141-'Ablesewerte Strom'!F141)</f>
        <v>51.610000000000582</v>
      </c>
      <c r="H156" s="3">
        <f>SUM('Ablesewerte Strom'!H141-'Ablesewerte Strom'!G141)</f>
        <v>75.380000000000109</v>
      </c>
      <c r="I156" s="3">
        <f>SUM('Ablesewerte Strom'!I141-'Ablesewerte Strom'!H141)</f>
        <v>65.880000000000109</v>
      </c>
      <c r="J156" s="3">
        <f>SUM('Ablesewerte Strom'!J141-'Ablesewerte Strom'!I141)</f>
        <v>60.179999999999382</v>
      </c>
      <c r="K156" s="3">
        <f>SUM('Ablesewerte Strom'!K141-'Ablesewerte Strom'!J141)</f>
        <v>64.199999999999818</v>
      </c>
      <c r="L156" s="3">
        <f>SUM('Ablesewerte Strom'!L141-'Ablesewerte Strom'!K141)</f>
        <v>57.650000000000546</v>
      </c>
      <c r="M156" s="3">
        <f>SUM('Ablesewerte Strom'!M141-'Ablesewerte Strom'!L141)</f>
        <v>78.269999999999527</v>
      </c>
      <c r="N156" s="3">
        <f>SUM('Ablesewerte Strom'!N141-'Ablesewerte Strom'!M141)</f>
        <v>69.150000000000546</v>
      </c>
      <c r="O156" s="3">
        <f>SUM('Ablesewerte Strom'!O141-'Ablesewerte Strom'!N141)</f>
        <v>60.949999999999818</v>
      </c>
      <c r="P156" s="3">
        <f>SUM(D156:O156)</f>
        <v>797.65999999999985</v>
      </c>
    </row>
    <row r="157" spans="1:17" x14ac:dyDescent="0.2">
      <c r="A157" t="s">
        <v>93</v>
      </c>
      <c r="D157" s="3">
        <f>SUM('Ablesewerte Strom'!D142-'Ablesewerte Strom'!C142)</f>
        <v>27.690000000000055</v>
      </c>
      <c r="E157" s="3">
        <f>SUM('Ablesewerte Strom'!E142-'Ablesewerte Strom'!D142)</f>
        <v>25.309999999999945</v>
      </c>
      <c r="F157" s="3">
        <f>SUM('Ablesewerte Strom'!F142-'Ablesewerte Strom'!E142)</f>
        <v>29.319999999999709</v>
      </c>
      <c r="G157" s="3">
        <f>SUM('Ablesewerte Strom'!G142-'Ablesewerte Strom'!F142)</f>
        <v>18.110000000000127</v>
      </c>
      <c r="H157" s="3">
        <f>SUM('Ablesewerte Strom'!H142-'Ablesewerte Strom'!G142)</f>
        <v>25.099999999999909</v>
      </c>
      <c r="I157" s="3">
        <f>SUM('Ablesewerte Strom'!I142-'Ablesewerte Strom'!H142)</f>
        <v>22.720000000000255</v>
      </c>
      <c r="J157" s="3">
        <f>SUM('Ablesewerte Strom'!J142-'Ablesewerte Strom'!I142)</f>
        <v>20.529999999999745</v>
      </c>
      <c r="K157" s="3">
        <f>SUM('Ablesewerte Strom'!K142-'Ablesewerte Strom'!J142)</f>
        <v>16.130000000000109</v>
      </c>
      <c r="L157" s="3">
        <f>SUM('Ablesewerte Strom'!L142-'Ablesewerte Strom'!K142)</f>
        <v>22.800000000000182</v>
      </c>
      <c r="M157" s="3">
        <f>SUM('Ablesewerte Strom'!M142-'Ablesewerte Strom'!L142)</f>
        <v>34.25</v>
      </c>
      <c r="N157" s="3">
        <f>SUM('Ablesewerte Strom'!N142-'Ablesewerte Strom'!M142)</f>
        <v>34.659999999999854</v>
      </c>
      <c r="O157" s="3">
        <f>SUM('Ablesewerte Strom'!O142-'Ablesewerte Strom'!N142)</f>
        <v>29.860000000000127</v>
      </c>
      <c r="P157" s="3">
        <f>SUM(D157:O157)</f>
        <v>306.48</v>
      </c>
    </row>
    <row r="158" spans="1:17" x14ac:dyDescent="0.2">
      <c r="A158" t="s">
        <v>94</v>
      </c>
      <c r="D158" s="3">
        <f>SUM('Ablesewerte Strom'!D143-'Ablesewerte Strom'!C143)</f>
        <v>1111.8999999999942</v>
      </c>
      <c r="E158" s="3">
        <f>SUM('Ablesewerte Strom'!E143-'Ablesewerte Strom'!D143)</f>
        <v>932.90000000000873</v>
      </c>
      <c r="F158" s="3">
        <f>SUM('Ablesewerte Strom'!F143-'Ablesewerte Strom'!E143)</f>
        <v>1012.2999999999884</v>
      </c>
      <c r="G158" s="3">
        <f>SUM('Ablesewerte Strom'!G143-'Ablesewerte Strom'!F143)</f>
        <v>627.80000000000291</v>
      </c>
      <c r="H158" s="3">
        <f>SUM('Ablesewerte Strom'!H143-'Ablesewerte Strom'!G143)</f>
        <v>708.5</v>
      </c>
      <c r="I158" s="3">
        <f>SUM('Ablesewerte Strom'!I143-'Ablesewerte Strom'!H143)</f>
        <v>753.69999999999709</v>
      </c>
      <c r="J158" s="3">
        <f>SUM('Ablesewerte Strom'!J143-'Ablesewerte Strom'!I143)</f>
        <v>519.80000000000291</v>
      </c>
      <c r="K158" s="3">
        <f>SUM('Ablesewerte Strom'!K143-'Ablesewerte Strom'!J143)</f>
        <v>566.60000000000582</v>
      </c>
      <c r="L158" s="3">
        <f>SUM('Ablesewerte Strom'!L143-'Ablesewerte Strom'!K143)</f>
        <v>665.80000000000291</v>
      </c>
      <c r="M158" s="3">
        <f>SUM('Ablesewerte Strom'!M143-'Ablesewerte Strom'!L143)</f>
        <v>1015.0999999999913</v>
      </c>
      <c r="N158" s="3">
        <f>SUM('Ablesewerte Strom'!N143-'Ablesewerte Strom'!M143)</f>
        <v>1157.5</v>
      </c>
      <c r="O158" s="3">
        <f>SUM('Ablesewerte Strom'!O143-'Ablesewerte Strom'!N143)</f>
        <v>1014</v>
      </c>
      <c r="P158" s="3">
        <f>SUM(D158:O158)</f>
        <v>10085.899999999994</v>
      </c>
    </row>
    <row r="159" spans="1:17" x14ac:dyDescent="0.2">
      <c r="A159" t="s">
        <v>95</v>
      </c>
      <c r="D159" s="3">
        <f>SUM('Ablesewerte Strom'!D144-'Ablesewerte Strom'!C144)</f>
        <v>251.89999999999964</v>
      </c>
      <c r="E159" s="3">
        <f>SUM('Ablesewerte Strom'!E144-'Ablesewerte Strom'!D144)</f>
        <v>1002.8999999999996</v>
      </c>
      <c r="F159" s="3">
        <f>SUM('Ablesewerte Strom'!F144-'Ablesewerte Strom'!E144)</f>
        <v>235.30000000000018</v>
      </c>
      <c r="G159" s="3">
        <f>SUM('Ablesewerte Strom'!G144-'Ablesewerte Strom'!F144)</f>
        <v>59.800000000000182</v>
      </c>
      <c r="H159" s="3">
        <f>SUM('Ablesewerte Strom'!H144-'Ablesewerte Strom'!G144)</f>
        <v>0</v>
      </c>
      <c r="I159" s="3">
        <f>SUM('Ablesewerte Strom'!I144-'Ablesewerte Strom'!H144)</f>
        <v>0</v>
      </c>
      <c r="J159" s="3">
        <f>SUM('Ablesewerte Strom'!J144-'Ablesewerte Strom'!I144)</f>
        <v>0</v>
      </c>
      <c r="K159" s="3">
        <f>SUM('Ablesewerte Strom'!K144-'Ablesewerte Strom'!J144)</f>
        <v>0</v>
      </c>
      <c r="L159" s="3">
        <f>SUM('Ablesewerte Strom'!L144-'Ablesewerte Strom'!K144)</f>
        <v>0</v>
      </c>
      <c r="M159" s="3">
        <f>SUM('Ablesewerte Strom'!M144-'Ablesewerte Strom'!L144)</f>
        <v>0</v>
      </c>
      <c r="N159" s="3">
        <f>SUM('Ablesewerte Strom'!N144-'Ablesewerte Strom'!M144)</f>
        <v>0</v>
      </c>
      <c r="O159" s="3">
        <f>SUM('Ablesewerte Strom'!O144-'Ablesewerte Strom'!N144)</f>
        <v>0</v>
      </c>
      <c r="P159" s="3">
        <f>SUM(D159:O159)</f>
        <v>1549.8999999999996</v>
      </c>
    </row>
    <row r="160" spans="1:17" x14ac:dyDescent="0.2">
      <c r="A160" t="s">
        <v>96</v>
      </c>
      <c r="D160" s="3">
        <f>SUM('Ablesewerte Strom'!D145-'Ablesewerte Strom'!C145)</f>
        <v>35.5</v>
      </c>
      <c r="E160" s="3">
        <f>SUM('Ablesewerte Strom'!E145-'Ablesewerte Strom'!D145)</f>
        <v>96.800000000000182</v>
      </c>
      <c r="F160" s="3">
        <f>SUM('Ablesewerte Strom'!F145-'Ablesewerte Strom'!E145)</f>
        <v>99.699999999999818</v>
      </c>
      <c r="G160" s="3">
        <f>SUM('Ablesewerte Strom'!G145-'Ablesewerte Strom'!F145)</f>
        <v>58.5</v>
      </c>
      <c r="H160" s="3">
        <f>SUM('Ablesewerte Strom'!H145-'Ablesewerte Strom'!G145)</f>
        <v>14.699999999999818</v>
      </c>
      <c r="I160" s="3">
        <f>SUM('Ablesewerte Strom'!I145-'Ablesewerte Strom'!H145)</f>
        <v>0.6999999999998181</v>
      </c>
      <c r="J160" s="3">
        <f>SUM('Ablesewerte Strom'!J145-'Ablesewerte Strom'!I145)</f>
        <v>0.3000000000001819</v>
      </c>
      <c r="K160" s="3">
        <f>SUM('Ablesewerte Strom'!K145-'Ablesewerte Strom'!J145)</f>
        <v>0.3999999999996362</v>
      </c>
      <c r="L160" s="3">
        <f>SUM('Ablesewerte Strom'!L145-'Ablesewerte Strom'!K145)</f>
        <v>0.6000000000003638</v>
      </c>
      <c r="M160" s="3">
        <f>SUM('Ablesewerte Strom'!M145-'Ablesewerte Strom'!L145)</f>
        <v>1.1000000000003638</v>
      </c>
      <c r="N160" s="3">
        <f>SUM('Ablesewerte Strom'!N145-'Ablesewerte Strom'!M145)</f>
        <v>0.6999999999998181</v>
      </c>
      <c r="O160" s="3">
        <f>SUM('Ablesewerte Strom'!O145-'Ablesewerte Strom'!N145)</f>
        <v>0.8000000000001819</v>
      </c>
      <c r="P160" s="3">
        <f>SUM(D160:O160)</f>
        <v>309.80000000000018</v>
      </c>
    </row>
    <row r="161" spans="1:18" x14ac:dyDescent="0.2">
      <c r="A161" t="s">
        <v>53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8" x14ac:dyDescent="0.2"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Q162" s="3">
        <f>SUM(D161:O162)</f>
        <v>0</v>
      </c>
    </row>
    <row r="163" spans="1:18" x14ac:dyDescent="0.2">
      <c r="A163" t="s">
        <v>140</v>
      </c>
      <c r="D163" s="3">
        <f>SUM('Ablesewerte Strom'!D147-'Ablesewerte Strom'!C147)</f>
        <v>1211.8000000000029</v>
      </c>
      <c r="E163" s="3">
        <f>SUM('Ablesewerte Strom'!E147-'Ablesewerte Strom'!D147)</f>
        <v>1098.8000000000029</v>
      </c>
      <c r="F163" s="3">
        <f>SUM('Ablesewerte Strom'!F147-'Ablesewerte Strom'!E147)</f>
        <v>1132.5999999999913</v>
      </c>
      <c r="G163" s="3">
        <f>SUM('Ablesewerte Strom'!G147-'Ablesewerte Strom'!F147)</f>
        <v>1000.5</v>
      </c>
      <c r="H163" s="3">
        <f>SUM('Ablesewerte Strom'!H147-'Ablesewerte Strom'!G147)</f>
        <v>927.90000000000873</v>
      </c>
      <c r="I163" s="3">
        <f>SUM('Ablesewerte Strom'!I147-'Ablesewerte Strom'!H147)</f>
        <v>923.80000000000291</v>
      </c>
      <c r="J163" s="3">
        <f>SUM('Ablesewerte Strom'!J147-'Ablesewerte Strom'!I147)</f>
        <v>738.59999999999127</v>
      </c>
      <c r="K163" s="3">
        <f>SUM('Ablesewerte Strom'!K147-'Ablesewerte Strom'!J147)</f>
        <v>342.10000000000582</v>
      </c>
      <c r="L163" s="3">
        <f>SUM('Ablesewerte Strom'!L147-'Ablesewerte Strom'!K147)</f>
        <v>821.80000000000291</v>
      </c>
      <c r="M163" s="3">
        <f>SUM('Ablesewerte Strom'!M147-'Ablesewerte Strom'!L147)</f>
        <v>1170.7999999999884</v>
      </c>
      <c r="N163" s="3">
        <f>SUM('Ablesewerte Strom'!N147-'Ablesewerte Strom'!M147)</f>
        <v>1027.7000000000116</v>
      </c>
      <c r="O163" s="3">
        <f>SUM('Ablesewerte Strom'!O147-'Ablesewerte Strom'!N147)</f>
        <v>1416</v>
      </c>
      <c r="P163" s="3">
        <f>SUM(D163:O163)</f>
        <v>11812.400000000009</v>
      </c>
      <c r="Q163" t="s">
        <v>100</v>
      </c>
      <c r="R163" s="20">
        <f>SUM(Q150:Q162)</f>
        <v>64884.900000000045</v>
      </c>
    </row>
  </sheetData>
  <phoneticPr fontId="3" type="noConversion"/>
  <pageMargins left="0.78740157499999996" right="0.78740157499999996" top="0.984251969" bottom="0.984251969" header="0.4921259845" footer="0.492125984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642A-B0B9-4086-A5A9-4F96E0209997}">
  <sheetPr>
    <tabColor indexed="44"/>
  </sheetPr>
  <dimension ref="A1:S83"/>
  <sheetViews>
    <sheetView tabSelected="1" topLeftCell="A37" workbookViewId="0">
      <selection activeCell="M87" sqref="M87"/>
    </sheetView>
  </sheetViews>
  <sheetFormatPr baseColWidth="10" defaultRowHeight="12.75" x14ac:dyDescent="0.2"/>
  <cols>
    <col min="1" max="1" width="17" customWidth="1"/>
    <col min="2" max="2" width="7.28515625" customWidth="1"/>
  </cols>
  <sheetData>
    <row r="1" spans="1:19" ht="15.75" x14ac:dyDescent="0.25">
      <c r="A1" s="1" t="s">
        <v>64</v>
      </c>
    </row>
    <row r="2" spans="1:19" ht="15.75" x14ac:dyDescent="0.25">
      <c r="A2" s="1">
        <v>2005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</row>
    <row r="3" spans="1:19" x14ac:dyDescent="0.2">
      <c r="B3" t="s">
        <v>69</v>
      </c>
      <c r="C3" s="2" t="s">
        <v>38</v>
      </c>
      <c r="D3" s="2" t="s">
        <v>20</v>
      </c>
      <c r="E3" s="2" t="s">
        <v>39</v>
      </c>
      <c r="F3" s="2" t="s">
        <v>40</v>
      </c>
      <c r="G3" s="2" t="s">
        <v>41</v>
      </c>
      <c r="H3" s="2" t="s">
        <v>24</v>
      </c>
      <c r="I3" s="2" t="s">
        <v>42</v>
      </c>
      <c r="J3" s="2" t="s">
        <v>43</v>
      </c>
      <c r="K3" s="2" t="s">
        <v>27</v>
      </c>
      <c r="L3" s="2" t="s">
        <v>44</v>
      </c>
      <c r="M3" s="2" t="s">
        <v>45</v>
      </c>
      <c r="N3" s="2" t="s">
        <v>29</v>
      </c>
      <c r="O3" t="s">
        <v>18</v>
      </c>
    </row>
    <row r="5" spans="1:19" x14ac:dyDescent="0.2">
      <c r="A5" t="s">
        <v>65</v>
      </c>
      <c r="C5" s="7">
        <v>614</v>
      </c>
      <c r="D5" s="7"/>
      <c r="E5" s="7"/>
      <c r="F5">
        <v>1210</v>
      </c>
      <c r="G5">
        <v>1401</v>
      </c>
      <c r="H5">
        <v>1511</v>
      </c>
      <c r="I5">
        <v>1756</v>
      </c>
      <c r="J5">
        <v>1945</v>
      </c>
      <c r="K5">
        <v>2087</v>
      </c>
      <c r="L5">
        <v>2248</v>
      </c>
      <c r="M5">
        <v>2436</v>
      </c>
      <c r="N5">
        <v>2627</v>
      </c>
      <c r="O5">
        <v>2795</v>
      </c>
      <c r="Q5">
        <f>SUM(O5-C5)</f>
        <v>2181</v>
      </c>
    </row>
    <row r="6" spans="1:19" x14ac:dyDescent="0.2">
      <c r="A6" t="s">
        <v>66</v>
      </c>
      <c r="C6" s="7"/>
      <c r="D6" s="7"/>
      <c r="E6" s="7"/>
      <c r="F6">
        <v>251</v>
      </c>
      <c r="G6">
        <v>266</v>
      </c>
      <c r="H6">
        <v>274</v>
      </c>
      <c r="I6">
        <v>311</v>
      </c>
      <c r="J6">
        <v>321</v>
      </c>
      <c r="K6">
        <v>323</v>
      </c>
      <c r="L6">
        <v>334</v>
      </c>
      <c r="M6">
        <v>349</v>
      </c>
      <c r="N6">
        <v>367</v>
      </c>
      <c r="O6">
        <v>382</v>
      </c>
      <c r="Q6">
        <f>SUM(O6-F6)</f>
        <v>131</v>
      </c>
      <c r="R6" t="s">
        <v>68</v>
      </c>
    </row>
    <row r="7" spans="1:19" x14ac:dyDescent="0.2">
      <c r="A7" t="s">
        <v>67</v>
      </c>
      <c r="C7" s="7">
        <v>6</v>
      </c>
      <c r="D7" s="7"/>
      <c r="E7" s="7"/>
      <c r="F7" s="7"/>
      <c r="G7" s="7"/>
      <c r="H7" s="7"/>
      <c r="I7" s="8">
        <v>33</v>
      </c>
      <c r="J7">
        <v>36</v>
      </c>
      <c r="K7">
        <v>43</v>
      </c>
      <c r="L7">
        <v>48</v>
      </c>
      <c r="M7">
        <v>50</v>
      </c>
      <c r="N7">
        <v>52</v>
      </c>
      <c r="O7">
        <v>54</v>
      </c>
      <c r="Q7">
        <f>SUM(O7-C7)</f>
        <v>48</v>
      </c>
    </row>
    <row r="8" spans="1:19" x14ac:dyDescent="0.2">
      <c r="A8" t="s">
        <v>3</v>
      </c>
      <c r="C8" s="7">
        <v>313</v>
      </c>
      <c r="D8" s="7"/>
      <c r="E8" s="7"/>
      <c r="F8" s="7"/>
      <c r="G8">
        <v>466</v>
      </c>
      <c r="H8">
        <v>486</v>
      </c>
      <c r="I8">
        <v>510</v>
      </c>
      <c r="J8">
        <v>541</v>
      </c>
      <c r="K8">
        <v>551</v>
      </c>
      <c r="L8">
        <v>581</v>
      </c>
      <c r="M8">
        <v>615</v>
      </c>
      <c r="N8">
        <v>645</v>
      </c>
      <c r="O8">
        <v>680</v>
      </c>
      <c r="Q8">
        <f>SUM(O8-C8)</f>
        <v>367</v>
      </c>
      <c r="R8" t="s">
        <v>88</v>
      </c>
    </row>
    <row r="9" spans="1:19" x14ac:dyDescent="0.2">
      <c r="R9">
        <f>SUM(Q5:Q8)</f>
        <v>2727</v>
      </c>
      <c r="S9" t="s">
        <v>69</v>
      </c>
    </row>
    <row r="10" spans="1:19" x14ac:dyDescent="0.2">
      <c r="A10" s="7" t="s">
        <v>73</v>
      </c>
      <c r="B10" s="7"/>
    </row>
    <row r="11" spans="1:19" x14ac:dyDescent="0.2">
      <c r="A11" s="7" t="s">
        <v>74</v>
      </c>
      <c r="B11" s="7"/>
    </row>
    <row r="13" spans="1:19" ht="15.75" x14ac:dyDescent="0.25">
      <c r="A13" s="1">
        <v>2006</v>
      </c>
      <c r="B13" t="s">
        <v>69</v>
      </c>
      <c r="C13" s="2" t="s">
        <v>6</v>
      </c>
      <c r="D13" s="2" t="s">
        <v>7</v>
      </c>
      <c r="E13" s="2" t="s">
        <v>8</v>
      </c>
      <c r="F13" s="2" t="s">
        <v>9</v>
      </c>
      <c r="G13" s="2" t="s">
        <v>10</v>
      </c>
      <c r="H13" s="2" t="s">
        <v>11</v>
      </c>
      <c r="I13" s="2" t="s">
        <v>12</v>
      </c>
      <c r="J13" s="2" t="s">
        <v>13</v>
      </c>
      <c r="K13" s="2" t="s">
        <v>14</v>
      </c>
      <c r="L13" s="2" t="s">
        <v>15</v>
      </c>
      <c r="M13" s="2" t="s">
        <v>16</v>
      </c>
      <c r="N13" s="2" t="s">
        <v>17</v>
      </c>
      <c r="Q13" s="2" t="s">
        <v>61</v>
      </c>
    </row>
    <row r="14" spans="1:19" x14ac:dyDescent="0.2">
      <c r="C14" t="s">
        <v>18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28</v>
      </c>
      <c r="M14" t="s">
        <v>36</v>
      </c>
      <c r="N14" t="s">
        <v>29</v>
      </c>
      <c r="O14" t="s">
        <v>30</v>
      </c>
      <c r="Q14" t="s">
        <v>62</v>
      </c>
    </row>
    <row r="16" spans="1:19" x14ac:dyDescent="0.2">
      <c r="A16" t="s">
        <v>65</v>
      </c>
      <c r="C16">
        <v>2795</v>
      </c>
      <c r="D16">
        <v>2993</v>
      </c>
      <c r="E16">
        <v>3200</v>
      </c>
      <c r="F16">
        <v>3447</v>
      </c>
      <c r="G16">
        <v>3579</v>
      </c>
      <c r="H16">
        <v>3798</v>
      </c>
      <c r="I16">
        <v>3986</v>
      </c>
      <c r="J16">
        <v>4184</v>
      </c>
      <c r="K16">
        <v>4293</v>
      </c>
      <c r="L16">
        <v>4430</v>
      </c>
      <c r="M16">
        <v>4696</v>
      </c>
      <c r="N16">
        <v>4985</v>
      </c>
      <c r="O16">
        <v>5189</v>
      </c>
      <c r="Q16">
        <f>SUM(O16-C16)</f>
        <v>2394</v>
      </c>
    </row>
    <row r="17" spans="1:19" x14ac:dyDescent="0.2">
      <c r="A17" t="s">
        <v>66</v>
      </c>
      <c r="C17">
        <v>382</v>
      </c>
      <c r="D17">
        <v>402</v>
      </c>
      <c r="E17">
        <v>424</v>
      </c>
      <c r="F17">
        <v>441.2</v>
      </c>
      <c r="G17">
        <v>451.1</v>
      </c>
      <c r="H17">
        <v>461</v>
      </c>
      <c r="I17">
        <v>476</v>
      </c>
      <c r="J17">
        <v>495</v>
      </c>
      <c r="K17">
        <v>497</v>
      </c>
      <c r="L17">
        <v>505</v>
      </c>
      <c r="M17">
        <v>523</v>
      </c>
      <c r="N17">
        <v>545</v>
      </c>
      <c r="O17">
        <v>560</v>
      </c>
      <c r="Q17">
        <f>SUM(O17-C17)</f>
        <v>178</v>
      </c>
    </row>
    <row r="18" spans="1:19" x14ac:dyDescent="0.2">
      <c r="A18" t="s">
        <v>67</v>
      </c>
      <c r="C18">
        <v>54</v>
      </c>
      <c r="D18">
        <v>56</v>
      </c>
      <c r="E18">
        <v>59</v>
      </c>
      <c r="F18">
        <v>61</v>
      </c>
      <c r="G18">
        <v>63</v>
      </c>
      <c r="H18">
        <v>66</v>
      </c>
      <c r="I18">
        <v>70</v>
      </c>
      <c r="J18">
        <v>78</v>
      </c>
      <c r="K18">
        <v>105</v>
      </c>
      <c r="L18">
        <v>129</v>
      </c>
      <c r="M18">
        <v>153</v>
      </c>
      <c r="N18">
        <v>167.2</v>
      </c>
      <c r="O18">
        <v>173</v>
      </c>
      <c r="Q18">
        <f>SUM(O18-C18)</f>
        <v>119</v>
      </c>
    </row>
    <row r="19" spans="1:19" x14ac:dyDescent="0.2">
      <c r="A19" t="s">
        <v>3</v>
      </c>
      <c r="C19">
        <v>680</v>
      </c>
      <c r="D19">
        <v>724</v>
      </c>
      <c r="E19">
        <v>768.3</v>
      </c>
      <c r="F19">
        <v>807</v>
      </c>
      <c r="G19">
        <v>838</v>
      </c>
      <c r="H19">
        <v>871</v>
      </c>
      <c r="I19">
        <v>899</v>
      </c>
      <c r="J19">
        <v>923</v>
      </c>
      <c r="K19">
        <v>932</v>
      </c>
      <c r="L19">
        <v>961</v>
      </c>
      <c r="M19">
        <v>993</v>
      </c>
      <c r="N19">
        <v>1029</v>
      </c>
      <c r="O19">
        <v>1060</v>
      </c>
      <c r="Q19">
        <f>SUM(O19-C19)</f>
        <v>380</v>
      </c>
      <c r="R19" t="s">
        <v>88</v>
      </c>
    </row>
    <row r="20" spans="1:19" x14ac:dyDescent="0.2">
      <c r="R20">
        <f>SUM(Q16:Q19)</f>
        <v>3071</v>
      </c>
      <c r="S20" t="s">
        <v>69</v>
      </c>
    </row>
    <row r="21" spans="1:19" ht="15.75" x14ac:dyDescent="0.25">
      <c r="A21" s="1">
        <v>2007</v>
      </c>
      <c r="B21" t="s">
        <v>69</v>
      </c>
      <c r="C21" s="2" t="s">
        <v>6</v>
      </c>
      <c r="D21" s="2" t="s">
        <v>7</v>
      </c>
      <c r="E21" s="2" t="s">
        <v>8</v>
      </c>
      <c r="F21" s="2" t="s">
        <v>9</v>
      </c>
      <c r="G21" s="2" t="s">
        <v>10</v>
      </c>
      <c r="H21" s="2" t="s">
        <v>11</v>
      </c>
      <c r="I21" s="2" t="s">
        <v>12</v>
      </c>
      <c r="J21" s="2" t="s">
        <v>13</v>
      </c>
      <c r="K21" s="2" t="s">
        <v>14</v>
      </c>
      <c r="L21" s="2" t="s">
        <v>15</v>
      </c>
      <c r="M21" s="2" t="s">
        <v>16</v>
      </c>
      <c r="N21" s="2" t="s">
        <v>17</v>
      </c>
    </row>
    <row r="22" spans="1:19" x14ac:dyDescent="0.2">
      <c r="C22" s="18" t="s">
        <v>86</v>
      </c>
      <c r="D22" s="18" t="s">
        <v>20</v>
      </c>
      <c r="E22" s="18" t="s">
        <v>39</v>
      </c>
      <c r="F22" s="18" t="s">
        <v>77</v>
      </c>
      <c r="G22" s="18" t="s">
        <v>41</v>
      </c>
      <c r="H22" s="18" t="s">
        <v>87</v>
      </c>
      <c r="I22" s="18" t="s">
        <v>79</v>
      </c>
      <c r="J22" s="18" t="s">
        <v>80</v>
      </c>
      <c r="K22" s="18" t="s">
        <v>81</v>
      </c>
      <c r="L22" s="18" t="s">
        <v>82</v>
      </c>
      <c r="M22" s="18" t="s">
        <v>83</v>
      </c>
      <c r="N22" s="18" t="s">
        <v>84</v>
      </c>
      <c r="O22" s="18" t="s">
        <v>76</v>
      </c>
    </row>
    <row r="23" spans="1:19" x14ac:dyDescent="0.2">
      <c r="A23" t="s">
        <v>65</v>
      </c>
      <c r="C23">
        <v>5189</v>
      </c>
      <c r="D23">
        <v>5410</v>
      </c>
      <c r="E23">
        <v>5633</v>
      </c>
      <c r="F23">
        <v>5918</v>
      </c>
      <c r="G23">
        <v>6097</v>
      </c>
      <c r="H23">
        <v>6281</v>
      </c>
      <c r="I23">
        <v>6503</v>
      </c>
      <c r="J23">
        <v>6738</v>
      </c>
      <c r="K23">
        <v>6747</v>
      </c>
      <c r="L23">
        <v>6932</v>
      </c>
      <c r="M23">
        <v>7160</v>
      </c>
      <c r="N23">
        <v>7417</v>
      </c>
      <c r="O23">
        <v>7635</v>
      </c>
      <c r="Q23">
        <f>SUM(O23-C23)</f>
        <v>2446</v>
      </c>
    </row>
    <row r="24" spans="1:19" x14ac:dyDescent="0.2">
      <c r="A24" t="s">
        <v>66</v>
      </c>
      <c r="C24">
        <v>560</v>
      </c>
      <c r="D24">
        <v>579</v>
      </c>
      <c r="E24">
        <v>601</v>
      </c>
      <c r="F24">
        <v>624</v>
      </c>
      <c r="G24">
        <v>643</v>
      </c>
      <c r="H24">
        <v>654</v>
      </c>
      <c r="I24">
        <v>670</v>
      </c>
      <c r="J24">
        <v>692</v>
      </c>
      <c r="K24">
        <v>693</v>
      </c>
      <c r="L24">
        <v>703</v>
      </c>
      <c r="M24">
        <v>724</v>
      </c>
      <c r="N24">
        <v>748</v>
      </c>
      <c r="O24">
        <v>763</v>
      </c>
      <c r="Q24">
        <f>SUM(O24-C24)</f>
        <v>203</v>
      </c>
    </row>
    <row r="25" spans="1:19" x14ac:dyDescent="0.2">
      <c r="A25" t="s">
        <v>67</v>
      </c>
      <c r="C25">
        <v>173</v>
      </c>
      <c r="D25">
        <v>177</v>
      </c>
      <c r="E25">
        <v>180</v>
      </c>
      <c r="F25">
        <v>186</v>
      </c>
      <c r="G25">
        <v>191</v>
      </c>
      <c r="H25">
        <v>195</v>
      </c>
      <c r="I25">
        <v>198</v>
      </c>
      <c r="J25">
        <v>238</v>
      </c>
      <c r="K25">
        <v>238</v>
      </c>
      <c r="L25">
        <v>244</v>
      </c>
      <c r="M25">
        <v>253</v>
      </c>
      <c r="N25">
        <v>257</v>
      </c>
      <c r="O25">
        <v>260</v>
      </c>
      <c r="Q25">
        <f>SUM(O25-C25)</f>
        <v>87</v>
      </c>
    </row>
    <row r="26" spans="1:19" x14ac:dyDescent="0.2">
      <c r="A26" t="s">
        <v>3</v>
      </c>
      <c r="C26">
        <v>1060</v>
      </c>
      <c r="D26">
        <v>1100</v>
      </c>
      <c r="E26">
        <v>1137</v>
      </c>
      <c r="F26">
        <v>1179</v>
      </c>
      <c r="G26">
        <v>1211</v>
      </c>
      <c r="H26">
        <v>1246</v>
      </c>
      <c r="I26">
        <v>1273</v>
      </c>
      <c r="J26">
        <v>1300</v>
      </c>
      <c r="K26">
        <v>1311</v>
      </c>
      <c r="L26">
        <v>1336</v>
      </c>
      <c r="M26">
        <v>1365</v>
      </c>
      <c r="N26">
        <v>1396</v>
      </c>
      <c r="O26">
        <v>1428</v>
      </c>
      <c r="Q26">
        <f>SUM(O26-C26)</f>
        <v>368</v>
      </c>
      <c r="R26" t="s">
        <v>88</v>
      </c>
    </row>
    <row r="27" spans="1:19" x14ac:dyDescent="0.2">
      <c r="R27">
        <f>SUM(Q23:Q26)</f>
        <v>3104</v>
      </c>
      <c r="S27" t="s">
        <v>69</v>
      </c>
    </row>
    <row r="28" spans="1:19" ht="15.75" x14ac:dyDescent="0.25">
      <c r="A28" s="1">
        <v>2008</v>
      </c>
      <c r="B28" t="s">
        <v>69</v>
      </c>
      <c r="C28" s="2" t="s">
        <v>6</v>
      </c>
      <c r="D28" s="2" t="s">
        <v>7</v>
      </c>
      <c r="E28" s="2" t="s">
        <v>8</v>
      </c>
      <c r="F28" s="2" t="s">
        <v>9</v>
      </c>
      <c r="G28" s="2" t="s">
        <v>10</v>
      </c>
      <c r="H28" s="2" t="s">
        <v>11</v>
      </c>
      <c r="I28" s="2" t="s">
        <v>12</v>
      </c>
      <c r="J28" s="2" t="s">
        <v>13</v>
      </c>
      <c r="K28" s="2" t="s">
        <v>14</v>
      </c>
      <c r="L28" s="2" t="s">
        <v>15</v>
      </c>
      <c r="M28" s="2" t="s">
        <v>16</v>
      </c>
      <c r="N28" s="2" t="s">
        <v>17</v>
      </c>
    </row>
    <row r="29" spans="1:19" x14ac:dyDescent="0.2">
      <c r="C29" s="18" t="s">
        <v>121</v>
      </c>
      <c r="D29" s="18" t="s">
        <v>122</v>
      </c>
      <c r="E29" s="18" t="s">
        <v>123</v>
      </c>
      <c r="F29" s="18" t="s">
        <v>124</v>
      </c>
      <c r="G29" s="18" t="s">
        <v>125</v>
      </c>
      <c r="H29" s="18" t="s">
        <v>126</v>
      </c>
      <c r="I29" s="18" t="s">
        <v>127</v>
      </c>
      <c r="J29" s="18" t="s">
        <v>128</v>
      </c>
      <c r="K29" s="18" t="s">
        <v>129</v>
      </c>
      <c r="L29" s="18" t="s">
        <v>130</v>
      </c>
      <c r="M29" s="18" t="s">
        <v>131</v>
      </c>
      <c r="N29" s="18" t="s">
        <v>132</v>
      </c>
      <c r="O29" s="18" t="s">
        <v>133</v>
      </c>
    </row>
    <row r="30" spans="1:19" x14ac:dyDescent="0.2">
      <c r="A30" t="s">
        <v>65</v>
      </c>
      <c r="C30">
        <v>7635</v>
      </c>
      <c r="D30">
        <v>7896</v>
      </c>
      <c r="E30">
        <v>8115</v>
      </c>
      <c r="F30">
        <v>8287</v>
      </c>
      <c r="G30">
        <v>8597</v>
      </c>
      <c r="H30">
        <v>8763</v>
      </c>
      <c r="I30">
        <v>9079</v>
      </c>
      <c r="J30">
        <v>9307</v>
      </c>
      <c r="K30">
        <v>9396</v>
      </c>
      <c r="L30">
        <v>9614</v>
      </c>
      <c r="M30">
        <v>9815</v>
      </c>
      <c r="N30">
        <v>10081</v>
      </c>
      <c r="O30">
        <v>10258</v>
      </c>
      <c r="Q30">
        <f>SUM(O30-C30)</f>
        <v>2623</v>
      </c>
    </row>
    <row r="31" spans="1:19" x14ac:dyDescent="0.2">
      <c r="A31" t="s">
        <v>66</v>
      </c>
      <c r="C31">
        <v>763</v>
      </c>
      <c r="D31">
        <v>787</v>
      </c>
      <c r="E31">
        <v>810</v>
      </c>
      <c r="F31">
        <v>831</v>
      </c>
      <c r="G31">
        <v>852</v>
      </c>
      <c r="H31">
        <v>867</v>
      </c>
      <c r="I31">
        <v>882</v>
      </c>
      <c r="J31">
        <v>899</v>
      </c>
      <c r="K31">
        <v>900</v>
      </c>
      <c r="L31">
        <v>915</v>
      </c>
      <c r="M31">
        <v>938</v>
      </c>
      <c r="N31">
        <v>967</v>
      </c>
      <c r="O31">
        <v>990</v>
      </c>
      <c r="Q31">
        <f>SUM(O31-C31)</f>
        <v>227</v>
      </c>
    </row>
    <row r="32" spans="1:19" x14ac:dyDescent="0.2">
      <c r="A32" t="s">
        <v>67</v>
      </c>
      <c r="C32">
        <v>260</v>
      </c>
      <c r="D32">
        <v>264</v>
      </c>
      <c r="E32">
        <v>267</v>
      </c>
      <c r="F32">
        <v>270</v>
      </c>
      <c r="G32">
        <v>276</v>
      </c>
      <c r="H32">
        <v>300</v>
      </c>
      <c r="I32">
        <v>304</v>
      </c>
      <c r="J32">
        <v>311</v>
      </c>
      <c r="K32">
        <v>319</v>
      </c>
      <c r="L32">
        <v>324</v>
      </c>
      <c r="M32">
        <v>343</v>
      </c>
      <c r="N32">
        <v>349</v>
      </c>
      <c r="O32">
        <v>353</v>
      </c>
      <c r="Q32">
        <f>SUM(O32-C32)</f>
        <v>93</v>
      </c>
    </row>
    <row r="33" spans="1:19" x14ac:dyDescent="0.2">
      <c r="A33" t="s">
        <v>3</v>
      </c>
      <c r="C33">
        <v>1428</v>
      </c>
      <c r="D33">
        <v>1456</v>
      </c>
      <c r="E33">
        <v>1484</v>
      </c>
      <c r="F33">
        <v>1510</v>
      </c>
      <c r="G33">
        <v>1538</v>
      </c>
      <c r="H33">
        <v>1561</v>
      </c>
      <c r="I33">
        <v>1589</v>
      </c>
      <c r="J33">
        <v>1610</v>
      </c>
      <c r="K33">
        <v>1623</v>
      </c>
      <c r="L33">
        <v>1652</v>
      </c>
      <c r="M33">
        <v>1678</v>
      </c>
      <c r="N33">
        <v>1709</v>
      </c>
      <c r="O33">
        <v>1731</v>
      </c>
      <c r="Q33">
        <f>SUM(O33-C33)</f>
        <v>303</v>
      </c>
      <c r="R33" t="s">
        <v>88</v>
      </c>
    </row>
    <row r="34" spans="1:19" x14ac:dyDescent="0.2">
      <c r="R34">
        <f>SUM(Q30:Q33)</f>
        <v>3246</v>
      </c>
      <c r="S34" t="s">
        <v>69</v>
      </c>
    </row>
    <row r="35" spans="1:19" ht="15.75" x14ac:dyDescent="0.25">
      <c r="A35" s="1">
        <v>2009</v>
      </c>
      <c r="B35" t="s">
        <v>69</v>
      </c>
      <c r="C35" s="2" t="s">
        <v>6</v>
      </c>
      <c r="D35" s="2" t="s">
        <v>7</v>
      </c>
      <c r="E35" s="2" t="s">
        <v>8</v>
      </c>
      <c r="F35" s="2" t="s">
        <v>9</v>
      </c>
      <c r="G35" s="2" t="s">
        <v>10</v>
      </c>
      <c r="H35" s="2" t="s">
        <v>11</v>
      </c>
      <c r="I35" s="2" t="s">
        <v>12</v>
      </c>
      <c r="J35" s="2" t="s">
        <v>13</v>
      </c>
      <c r="K35" s="2" t="s">
        <v>14</v>
      </c>
      <c r="L35" s="2" t="s">
        <v>15</v>
      </c>
      <c r="M35" s="2" t="s">
        <v>16</v>
      </c>
      <c r="N35" s="2" t="s">
        <v>17</v>
      </c>
    </row>
    <row r="36" spans="1:19" x14ac:dyDescent="0.2">
      <c r="C36" s="18" t="s">
        <v>133</v>
      </c>
      <c r="D36" s="18" t="s">
        <v>111</v>
      </c>
      <c r="E36" s="18" t="s">
        <v>112</v>
      </c>
      <c r="F36" s="18" t="s">
        <v>113</v>
      </c>
      <c r="G36" s="18" t="s">
        <v>114</v>
      </c>
      <c r="H36" s="18" t="s">
        <v>115</v>
      </c>
      <c r="I36" s="18" t="s">
        <v>116</v>
      </c>
      <c r="J36" s="18" t="s">
        <v>117</v>
      </c>
      <c r="K36" s="18" t="s">
        <v>118</v>
      </c>
      <c r="L36" s="18" t="s">
        <v>109</v>
      </c>
      <c r="M36" s="18" t="s">
        <v>119</v>
      </c>
      <c r="N36" s="18" t="s">
        <v>120</v>
      </c>
      <c r="O36" s="18" t="s">
        <v>110</v>
      </c>
    </row>
    <row r="37" spans="1:19" x14ac:dyDescent="0.2">
      <c r="A37" t="s">
        <v>65</v>
      </c>
      <c r="C37">
        <v>10258</v>
      </c>
      <c r="D37">
        <v>10463</v>
      </c>
      <c r="E37">
        <v>10683</v>
      </c>
      <c r="F37">
        <v>11005</v>
      </c>
      <c r="G37">
        <v>11191</v>
      </c>
      <c r="H37">
        <v>11377</v>
      </c>
      <c r="I37">
        <v>11622</v>
      </c>
      <c r="J37">
        <v>11834</v>
      </c>
      <c r="K37">
        <v>11982</v>
      </c>
      <c r="L37">
        <v>12215</v>
      </c>
      <c r="M37">
        <v>12449</v>
      </c>
      <c r="N37">
        <v>12770</v>
      </c>
      <c r="O37">
        <v>13028</v>
      </c>
      <c r="Q37">
        <f>SUM(O37-C37)</f>
        <v>2770</v>
      </c>
    </row>
    <row r="38" spans="1:19" x14ac:dyDescent="0.2">
      <c r="A38" t="s">
        <v>66</v>
      </c>
      <c r="C38">
        <v>990</v>
      </c>
      <c r="D38">
        <v>1007</v>
      </c>
      <c r="E38">
        <v>1032</v>
      </c>
      <c r="F38">
        <v>1060</v>
      </c>
      <c r="G38">
        <v>1080</v>
      </c>
      <c r="H38">
        <v>1095</v>
      </c>
      <c r="I38">
        <v>1112</v>
      </c>
      <c r="J38">
        <v>1133</v>
      </c>
      <c r="K38">
        <v>1137</v>
      </c>
      <c r="L38">
        <v>1160</v>
      </c>
      <c r="M38">
        <v>1182</v>
      </c>
      <c r="N38">
        <v>1211</v>
      </c>
      <c r="O38">
        <v>1232</v>
      </c>
      <c r="Q38">
        <f>SUM(O38-C38)</f>
        <v>242</v>
      </c>
    </row>
    <row r="39" spans="1:19" x14ac:dyDescent="0.2">
      <c r="A39" t="s">
        <v>67</v>
      </c>
      <c r="C39">
        <v>353</v>
      </c>
      <c r="D39">
        <v>356</v>
      </c>
      <c r="E39">
        <v>360</v>
      </c>
      <c r="F39">
        <v>367</v>
      </c>
      <c r="G39">
        <v>371</v>
      </c>
      <c r="H39">
        <v>375</v>
      </c>
      <c r="I39">
        <v>380</v>
      </c>
      <c r="J39">
        <v>385</v>
      </c>
      <c r="K39">
        <v>391</v>
      </c>
      <c r="L39">
        <v>399</v>
      </c>
      <c r="M39">
        <v>404</v>
      </c>
      <c r="N39">
        <v>412</v>
      </c>
      <c r="O39">
        <v>417</v>
      </c>
      <c r="Q39">
        <f>SUM(O39-C39)</f>
        <v>64</v>
      </c>
    </row>
    <row r="40" spans="1:19" x14ac:dyDescent="0.2">
      <c r="A40" t="s">
        <v>3</v>
      </c>
      <c r="C40">
        <v>1731</v>
      </c>
      <c r="D40">
        <v>1763</v>
      </c>
      <c r="E40">
        <v>1791</v>
      </c>
      <c r="F40">
        <v>1836</v>
      </c>
      <c r="G40" s="29">
        <v>28</v>
      </c>
      <c r="H40" s="30">
        <v>60</v>
      </c>
      <c r="I40" s="30">
        <v>88</v>
      </c>
      <c r="J40" s="30">
        <v>107</v>
      </c>
      <c r="K40" s="30">
        <v>118</v>
      </c>
      <c r="L40" s="30">
        <v>145</v>
      </c>
      <c r="M40" s="30">
        <v>174</v>
      </c>
      <c r="N40" s="30">
        <v>209</v>
      </c>
      <c r="O40" s="30">
        <v>236</v>
      </c>
      <c r="P40" s="30"/>
      <c r="Q40" s="30">
        <f>SUM(F40-C40)+O40</f>
        <v>341</v>
      </c>
      <c r="R40" t="s">
        <v>88</v>
      </c>
    </row>
    <row r="41" spans="1:19" x14ac:dyDescent="0.2">
      <c r="G41" t="s">
        <v>134</v>
      </c>
      <c r="R41">
        <f>SUM(Q37:Q40)</f>
        <v>3417</v>
      </c>
      <c r="S41" t="s">
        <v>69</v>
      </c>
    </row>
    <row r="43" spans="1:19" ht="15.75" x14ac:dyDescent="0.25">
      <c r="A43" s="1">
        <v>2010</v>
      </c>
      <c r="B43" t="s">
        <v>69</v>
      </c>
      <c r="C43" s="2" t="s">
        <v>6</v>
      </c>
      <c r="D43" s="2" t="s">
        <v>7</v>
      </c>
      <c r="E43" s="2" t="s">
        <v>8</v>
      </c>
      <c r="F43" s="2" t="s">
        <v>9</v>
      </c>
      <c r="G43" s="2" t="s">
        <v>10</v>
      </c>
      <c r="H43" s="2" t="s">
        <v>11</v>
      </c>
      <c r="I43" s="2" t="s">
        <v>12</v>
      </c>
      <c r="J43" s="2" t="s">
        <v>13</v>
      </c>
      <c r="K43" s="2" t="s">
        <v>14</v>
      </c>
      <c r="L43" s="2" t="s">
        <v>15</v>
      </c>
      <c r="M43" s="2" t="s">
        <v>16</v>
      </c>
      <c r="N43" s="2" t="s">
        <v>17</v>
      </c>
    </row>
    <row r="44" spans="1:19" x14ac:dyDescent="0.2">
      <c r="C44" s="24" t="s">
        <v>110</v>
      </c>
      <c r="D44" s="24" t="s">
        <v>137</v>
      </c>
      <c r="E44" s="24">
        <v>40238</v>
      </c>
      <c r="F44" s="24">
        <v>40269</v>
      </c>
      <c r="G44" s="24">
        <v>40301</v>
      </c>
      <c r="H44" s="24">
        <v>40319</v>
      </c>
      <c r="I44" s="24">
        <v>40360</v>
      </c>
      <c r="J44" s="24">
        <v>40392</v>
      </c>
      <c r="K44" s="24">
        <v>40422</v>
      </c>
      <c r="L44" s="24">
        <v>40452</v>
      </c>
      <c r="M44" s="24">
        <v>40484</v>
      </c>
      <c r="N44" s="24">
        <v>40513</v>
      </c>
      <c r="O44" s="24">
        <v>40543</v>
      </c>
    </row>
    <row r="45" spans="1:19" x14ac:dyDescent="0.2">
      <c r="A45" t="s">
        <v>65</v>
      </c>
      <c r="C45">
        <v>13028</v>
      </c>
      <c r="D45">
        <v>13304</v>
      </c>
      <c r="E45">
        <v>13545</v>
      </c>
      <c r="F45">
        <v>13698</v>
      </c>
      <c r="Q45">
        <f>SUM(F45-C45)</f>
        <v>670</v>
      </c>
    </row>
    <row r="46" spans="1:19" x14ac:dyDescent="0.2">
      <c r="E46">
        <v>0</v>
      </c>
      <c r="F46">
        <v>138</v>
      </c>
      <c r="G46">
        <v>405</v>
      </c>
      <c r="H46">
        <v>599</v>
      </c>
      <c r="I46">
        <v>890</v>
      </c>
      <c r="J46">
        <v>1137</v>
      </c>
      <c r="K46">
        <v>1260</v>
      </c>
      <c r="L46">
        <v>1478</v>
      </c>
      <c r="M46">
        <v>1817</v>
      </c>
      <c r="N46">
        <v>2109</v>
      </c>
      <c r="O46">
        <v>2346</v>
      </c>
      <c r="Q46">
        <f>SUM(O46-E46)</f>
        <v>2346</v>
      </c>
    </row>
    <row r="47" spans="1:19" x14ac:dyDescent="0.2">
      <c r="A47" t="s">
        <v>66</v>
      </c>
      <c r="C47">
        <v>1232</v>
      </c>
      <c r="D47">
        <v>1251</v>
      </c>
      <c r="E47">
        <v>1272</v>
      </c>
      <c r="F47">
        <v>1306</v>
      </c>
      <c r="G47">
        <v>1338</v>
      </c>
      <c r="H47">
        <v>1351</v>
      </c>
      <c r="I47">
        <v>1388</v>
      </c>
      <c r="J47">
        <v>1415</v>
      </c>
      <c r="K47">
        <v>1417</v>
      </c>
      <c r="L47">
        <v>1441</v>
      </c>
      <c r="M47">
        <v>1482</v>
      </c>
      <c r="N47">
        <v>1514</v>
      </c>
      <c r="O47">
        <v>1533</v>
      </c>
      <c r="Q47">
        <f>SUM(O47-C47)</f>
        <v>301</v>
      </c>
    </row>
    <row r="48" spans="1:19" x14ac:dyDescent="0.2">
      <c r="A48" t="s">
        <v>67</v>
      </c>
      <c r="C48">
        <v>417</v>
      </c>
      <c r="D48">
        <v>423</v>
      </c>
      <c r="E48">
        <v>429</v>
      </c>
      <c r="F48">
        <v>436</v>
      </c>
      <c r="G48">
        <v>441</v>
      </c>
      <c r="H48">
        <v>445</v>
      </c>
      <c r="I48">
        <v>451</v>
      </c>
      <c r="J48">
        <v>457</v>
      </c>
      <c r="K48">
        <v>464</v>
      </c>
      <c r="L48">
        <v>467</v>
      </c>
      <c r="M48">
        <v>481</v>
      </c>
      <c r="N48">
        <v>486</v>
      </c>
      <c r="O48">
        <v>489</v>
      </c>
      <c r="Q48">
        <f>SUM(O48-C48)</f>
        <v>72</v>
      </c>
    </row>
    <row r="49" spans="1:19" x14ac:dyDescent="0.2">
      <c r="A49" t="s">
        <v>3</v>
      </c>
      <c r="C49" s="30">
        <v>236</v>
      </c>
      <c r="D49">
        <v>270</v>
      </c>
      <c r="E49">
        <v>297</v>
      </c>
      <c r="F49">
        <v>330</v>
      </c>
      <c r="G49" s="30">
        <v>358</v>
      </c>
      <c r="H49" s="30">
        <v>375</v>
      </c>
      <c r="I49" s="30">
        <v>406</v>
      </c>
      <c r="J49" s="30">
        <v>425</v>
      </c>
      <c r="K49" s="30">
        <v>437</v>
      </c>
      <c r="L49" s="30">
        <v>469</v>
      </c>
      <c r="M49" s="30">
        <v>485</v>
      </c>
      <c r="N49" s="30">
        <v>498</v>
      </c>
      <c r="O49" s="30">
        <v>511</v>
      </c>
      <c r="P49" s="30"/>
      <c r="Q49">
        <f>SUM(O49-C49)</f>
        <v>275</v>
      </c>
      <c r="R49" t="s">
        <v>88</v>
      </c>
    </row>
    <row r="50" spans="1:19" x14ac:dyDescent="0.2">
      <c r="G50" t="s">
        <v>35</v>
      </c>
      <c r="R50">
        <f>SUM(Q45:Q49)</f>
        <v>3664</v>
      </c>
      <c r="S50" t="s">
        <v>69</v>
      </c>
    </row>
    <row r="53" spans="1:19" ht="15.75" x14ac:dyDescent="0.25">
      <c r="A53" s="1">
        <v>2011</v>
      </c>
      <c r="B53" t="s">
        <v>69</v>
      </c>
      <c r="C53" s="2" t="s">
        <v>6</v>
      </c>
      <c r="D53" s="2" t="s">
        <v>7</v>
      </c>
      <c r="E53" s="2" t="s">
        <v>8</v>
      </c>
      <c r="F53" s="2" t="s">
        <v>9</v>
      </c>
      <c r="G53" s="2" t="s">
        <v>10</v>
      </c>
      <c r="H53" s="2" t="s">
        <v>11</v>
      </c>
      <c r="I53" s="2" t="s">
        <v>12</v>
      </c>
      <c r="J53" s="2" t="s">
        <v>13</v>
      </c>
      <c r="K53" s="2" t="s">
        <v>14</v>
      </c>
      <c r="L53" s="2" t="s">
        <v>15</v>
      </c>
      <c r="M53" s="2" t="s">
        <v>16</v>
      </c>
      <c r="N53" s="2" t="s">
        <v>17</v>
      </c>
    </row>
    <row r="54" spans="1:19" x14ac:dyDescent="0.2">
      <c r="C54" s="24">
        <v>40543</v>
      </c>
      <c r="D54" s="24">
        <v>40575</v>
      </c>
      <c r="E54" s="24">
        <v>40603</v>
      </c>
      <c r="F54" s="24">
        <v>40634</v>
      </c>
      <c r="G54" s="24">
        <v>40665</v>
      </c>
      <c r="H54" s="24">
        <v>40695</v>
      </c>
      <c r="I54" s="24">
        <v>40725</v>
      </c>
      <c r="J54" s="24">
        <v>40756</v>
      </c>
      <c r="K54" s="24">
        <v>40787</v>
      </c>
      <c r="L54" s="24">
        <v>40820</v>
      </c>
      <c r="M54" s="24">
        <v>40849</v>
      </c>
      <c r="N54" s="24">
        <v>40878</v>
      </c>
      <c r="O54" s="24">
        <v>40908</v>
      </c>
    </row>
    <row r="55" spans="1:19" x14ac:dyDescent="0.2">
      <c r="D55" t="s">
        <v>35</v>
      </c>
      <c r="E55" t="s">
        <v>35</v>
      </c>
      <c r="F55" t="s">
        <v>35</v>
      </c>
      <c r="Q55" t="s">
        <v>35</v>
      </c>
    </row>
    <row r="56" spans="1:19" x14ac:dyDescent="0.2">
      <c r="A56" t="s">
        <v>65</v>
      </c>
      <c r="C56">
        <v>2346</v>
      </c>
      <c r="D56">
        <v>2610</v>
      </c>
      <c r="E56">
        <v>2892</v>
      </c>
      <c r="F56">
        <v>3172</v>
      </c>
      <c r="G56">
        <v>3436</v>
      </c>
      <c r="H56">
        <v>3883</v>
      </c>
      <c r="I56">
        <v>4067</v>
      </c>
      <c r="J56">
        <v>4335</v>
      </c>
      <c r="K56">
        <v>4462</v>
      </c>
      <c r="L56">
        <v>4784</v>
      </c>
      <c r="M56">
        <v>5115</v>
      </c>
      <c r="N56">
        <v>5384</v>
      </c>
      <c r="O56">
        <v>5594</v>
      </c>
      <c r="Q56">
        <f>SUM(O56-E56)</f>
        <v>2702</v>
      </c>
    </row>
    <row r="57" spans="1:19" x14ac:dyDescent="0.2">
      <c r="A57" t="s">
        <v>66</v>
      </c>
      <c r="C57">
        <v>1533</v>
      </c>
      <c r="D57">
        <v>1561</v>
      </c>
      <c r="E57">
        <v>1586</v>
      </c>
      <c r="F57">
        <v>1619</v>
      </c>
      <c r="G57">
        <v>1721</v>
      </c>
      <c r="H57">
        <v>1751</v>
      </c>
      <c r="I57">
        <v>1762</v>
      </c>
      <c r="J57">
        <v>1777</v>
      </c>
      <c r="K57">
        <v>1780</v>
      </c>
      <c r="L57">
        <v>1793</v>
      </c>
      <c r="M57">
        <v>1815</v>
      </c>
      <c r="N57">
        <v>1842</v>
      </c>
      <c r="O57">
        <v>1861</v>
      </c>
      <c r="Q57">
        <f>SUM(O57-C57)</f>
        <v>328</v>
      </c>
    </row>
    <row r="58" spans="1:19" x14ac:dyDescent="0.2">
      <c r="A58" t="s">
        <v>67</v>
      </c>
      <c r="C58" s="35">
        <v>489</v>
      </c>
      <c r="D58" s="35">
        <v>2</v>
      </c>
      <c r="E58">
        <v>7</v>
      </c>
      <c r="F58">
        <v>16</v>
      </c>
      <c r="G58">
        <v>21</v>
      </c>
      <c r="H58">
        <v>27</v>
      </c>
      <c r="I58">
        <v>31</v>
      </c>
      <c r="J58">
        <v>36</v>
      </c>
      <c r="K58">
        <v>43</v>
      </c>
      <c r="L58">
        <v>48</v>
      </c>
      <c r="M58">
        <v>56</v>
      </c>
      <c r="N58">
        <v>61</v>
      </c>
      <c r="O58">
        <v>66</v>
      </c>
      <c r="Q58">
        <f>SUM(O58-C58)</f>
        <v>-423</v>
      </c>
    </row>
    <row r="59" spans="1:19" x14ac:dyDescent="0.2">
      <c r="A59" t="s">
        <v>3</v>
      </c>
      <c r="C59" s="30">
        <v>511</v>
      </c>
      <c r="D59">
        <v>526</v>
      </c>
      <c r="E59">
        <v>539</v>
      </c>
      <c r="F59">
        <v>552</v>
      </c>
      <c r="G59" s="30">
        <v>566</v>
      </c>
      <c r="H59" s="30">
        <v>581</v>
      </c>
      <c r="I59" s="30">
        <v>591</v>
      </c>
      <c r="J59" s="30">
        <v>607</v>
      </c>
      <c r="K59" s="30">
        <v>616</v>
      </c>
      <c r="L59" s="30">
        <v>630</v>
      </c>
      <c r="M59" s="34">
        <v>646</v>
      </c>
      <c r="N59" s="34">
        <v>666</v>
      </c>
      <c r="O59" s="34">
        <v>685</v>
      </c>
      <c r="P59" s="30"/>
      <c r="Q59">
        <f>SUM(O59-C59)</f>
        <v>174</v>
      </c>
      <c r="R59" t="s">
        <v>88</v>
      </c>
    </row>
    <row r="60" spans="1:19" x14ac:dyDescent="0.2">
      <c r="G60" t="s">
        <v>35</v>
      </c>
      <c r="R60">
        <f>SUM(Q55:Q59)</f>
        <v>2781</v>
      </c>
      <c r="S60" t="s">
        <v>69</v>
      </c>
    </row>
    <row r="64" spans="1:19" ht="15.75" x14ac:dyDescent="0.25">
      <c r="A64" s="1">
        <v>2012</v>
      </c>
      <c r="B64" t="s">
        <v>69</v>
      </c>
      <c r="C64" s="2" t="s">
        <v>6</v>
      </c>
      <c r="D64" s="2" t="s">
        <v>7</v>
      </c>
      <c r="E64" s="2" t="s">
        <v>8</v>
      </c>
      <c r="F64" s="2" t="s">
        <v>9</v>
      </c>
      <c r="G64" s="2" t="s">
        <v>10</v>
      </c>
      <c r="H64" s="2" t="s">
        <v>11</v>
      </c>
      <c r="I64" s="2" t="s">
        <v>12</v>
      </c>
      <c r="J64" s="2" t="s">
        <v>13</v>
      </c>
      <c r="K64" s="2" t="s">
        <v>14</v>
      </c>
      <c r="L64" s="2" t="s">
        <v>15</v>
      </c>
      <c r="M64" s="2" t="s">
        <v>16</v>
      </c>
      <c r="N64" s="2" t="s">
        <v>17</v>
      </c>
    </row>
    <row r="65" spans="1:19" x14ac:dyDescent="0.2">
      <c r="C65" s="24">
        <v>40908</v>
      </c>
      <c r="D65" s="24">
        <v>40940</v>
      </c>
      <c r="E65" s="24">
        <v>40969</v>
      </c>
      <c r="F65" s="24">
        <v>41000</v>
      </c>
      <c r="G65" s="24">
        <v>41031</v>
      </c>
      <c r="H65" s="24">
        <v>41061</v>
      </c>
      <c r="I65" s="24">
        <v>41092</v>
      </c>
      <c r="J65" s="24">
        <v>41117</v>
      </c>
      <c r="K65" s="24">
        <v>41153</v>
      </c>
      <c r="L65" s="24">
        <v>41186</v>
      </c>
      <c r="M65" s="24">
        <v>41218</v>
      </c>
      <c r="N65" s="24">
        <v>41247</v>
      </c>
      <c r="O65" s="24">
        <v>41274</v>
      </c>
    </row>
    <row r="66" spans="1:19" x14ac:dyDescent="0.2">
      <c r="D66" t="s">
        <v>35</v>
      </c>
      <c r="E66" t="s">
        <v>35</v>
      </c>
      <c r="F66" t="s">
        <v>35</v>
      </c>
      <c r="Q66" t="s">
        <v>35</v>
      </c>
    </row>
    <row r="67" spans="1:19" x14ac:dyDescent="0.2">
      <c r="A67" t="s">
        <v>65</v>
      </c>
      <c r="C67">
        <v>5594</v>
      </c>
      <c r="D67">
        <v>5844</v>
      </c>
      <c r="E67">
        <v>6088</v>
      </c>
      <c r="F67">
        <v>6377</v>
      </c>
      <c r="G67">
        <v>6548</v>
      </c>
      <c r="H67">
        <v>6808</v>
      </c>
      <c r="I67">
        <v>7037</v>
      </c>
      <c r="J67">
        <v>7220</v>
      </c>
      <c r="K67">
        <v>7341</v>
      </c>
      <c r="L67">
        <v>7748</v>
      </c>
      <c r="M67">
        <v>8108</v>
      </c>
      <c r="N67">
        <v>8413</v>
      </c>
      <c r="O67">
        <v>8636</v>
      </c>
      <c r="Q67">
        <f>SUM(O67-C67)</f>
        <v>3042</v>
      </c>
    </row>
    <row r="68" spans="1:19" x14ac:dyDescent="0.2">
      <c r="A68" t="s">
        <v>66</v>
      </c>
      <c r="C68">
        <v>1861</v>
      </c>
      <c r="D68">
        <v>1886</v>
      </c>
      <c r="E68">
        <v>1924</v>
      </c>
      <c r="F68">
        <v>1952</v>
      </c>
      <c r="G68">
        <v>1970</v>
      </c>
      <c r="H68">
        <v>1986</v>
      </c>
      <c r="I68">
        <v>2003</v>
      </c>
      <c r="J68">
        <v>2021</v>
      </c>
      <c r="K68">
        <v>2025</v>
      </c>
      <c r="L68">
        <v>2048</v>
      </c>
      <c r="M68">
        <v>2119</v>
      </c>
      <c r="N68">
        <v>2150</v>
      </c>
      <c r="O68">
        <v>2173</v>
      </c>
      <c r="Q68">
        <f>SUM(O68-C68)</f>
        <v>312</v>
      </c>
    </row>
    <row r="69" spans="1:19" x14ac:dyDescent="0.2">
      <c r="A69" t="s">
        <v>67</v>
      </c>
      <c r="C69" s="36">
        <v>66</v>
      </c>
      <c r="D69" s="36">
        <v>74</v>
      </c>
      <c r="E69">
        <v>80</v>
      </c>
      <c r="F69">
        <v>86</v>
      </c>
      <c r="G69">
        <v>91</v>
      </c>
      <c r="H69">
        <v>98</v>
      </c>
      <c r="I69">
        <v>103</v>
      </c>
      <c r="J69">
        <v>107</v>
      </c>
      <c r="K69">
        <v>112</v>
      </c>
      <c r="L69">
        <v>118</v>
      </c>
      <c r="M69">
        <v>125</v>
      </c>
      <c r="N69">
        <v>130</v>
      </c>
      <c r="O69">
        <v>134</v>
      </c>
      <c r="Q69">
        <f>SUM(O69-C69)</f>
        <v>68</v>
      </c>
    </row>
    <row r="70" spans="1:19" x14ac:dyDescent="0.2">
      <c r="A70" t="s">
        <v>3</v>
      </c>
      <c r="C70" s="30">
        <v>685</v>
      </c>
      <c r="D70">
        <v>708</v>
      </c>
      <c r="E70">
        <v>726</v>
      </c>
      <c r="F70">
        <v>750</v>
      </c>
      <c r="G70" s="30">
        <v>771</v>
      </c>
      <c r="H70" s="34">
        <v>792</v>
      </c>
      <c r="I70" s="34">
        <v>807</v>
      </c>
      <c r="J70" s="34">
        <v>819</v>
      </c>
      <c r="K70" s="34">
        <v>835</v>
      </c>
      <c r="L70" s="34">
        <v>850</v>
      </c>
      <c r="M70" s="34">
        <v>868</v>
      </c>
      <c r="N70" s="34">
        <v>881</v>
      </c>
      <c r="O70" s="34">
        <v>898</v>
      </c>
      <c r="P70" s="30"/>
      <c r="Q70">
        <f>SUM(O70-C70)</f>
        <v>213</v>
      </c>
      <c r="R70" t="s">
        <v>88</v>
      </c>
    </row>
    <row r="71" spans="1:19" x14ac:dyDescent="0.2">
      <c r="G71" t="s">
        <v>35</v>
      </c>
      <c r="R71">
        <f>SUM(Q66:Q70)</f>
        <v>3635</v>
      </c>
      <c r="S71" t="s">
        <v>69</v>
      </c>
    </row>
    <row r="76" spans="1:19" ht="15.75" x14ac:dyDescent="0.25">
      <c r="A76" s="1">
        <v>2013</v>
      </c>
      <c r="B76" t="s">
        <v>69</v>
      </c>
      <c r="C76" s="2" t="s">
        <v>6</v>
      </c>
      <c r="D76" s="2" t="s">
        <v>7</v>
      </c>
      <c r="E76" s="2" t="s">
        <v>8</v>
      </c>
      <c r="F76" s="2" t="s">
        <v>9</v>
      </c>
      <c r="G76" s="2" t="s">
        <v>10</v>
      </c>
      <c r="H76" s="2" t="s">
        <v>11</v>
      </c>
      <c r="I76" s="2" t="s">
        <v>12</v>
      </c>
      <c r="J76" s="2" t="s">
        <v>13</v>
      </c>
      <c r="K76" s="2" t="s">
        <v>14</v>
      </c>
      <c r="L76" s="2" t="s">
        <v>15</v>
      </c>
      <c r="M76" s="2" t="s">
        <v>16</v>
      </c>
      <c r="N76" s="2" t="s">
        <v>17</v>
      </c>
    </row>
    <row r="77" spans="1:19" x14ac:dyDescent="0.2">
      <c r="C77" s="24">
        <v>41274</v>
      </c>
      <c r="D77" s="24">
        <v>40940</v>
      </c>
      <c r="E77" s="24">
        <v>40969</v>
      </c>
      <c r="F77" s="24">
        <v>41000</v>
      </c>
      <c r="G77" s="24">
        <v>41031</v>
      </c>
      <c r="H77" s="24">
        <v>41061</v>
      </c>
      <c r="I77" s="24">
        <v>41092</v>
      </c>
      <c r="J77" s="24">
        <v>41117</v>
      </c>
      <c r="K77" s="24">
        <v>41153</v>
      </c>
      <c r="L77" s="24">
        <v>41186</v>
      </c>
      <c r="M77" s="24">
        <v>41218</v>
      </c>
      <c r="N77" s="24">
        <v>41247</v>
      </c>
      <c r="O77" s="24">
        <v>41274</v>
      </c>
    </row>
    <row r="78" spans="1:19" x14ac:dyDescent="0.2">
      <c r="D78" t="s">
        <v>35</v>
      </c>
      <c r="E78" t="s">
        <v>35</v>
      </c>
      <c r="F78" t="s">
        <v>35</v>
      </c>
      <c r="Q78" t="s">
        <v>35</v>
      </c>
    </row>
    <row r="79" spans="1:19" x14ac:dyDescent="0.2">
      <c r="A79" t="s">
        <v>65</v>
      </c>
      <c r="C79">
        <v>8636</v>
      </c>
      <c r="Q79">
        <f>SUM(O79-C79)</f>
        <v>-8636</v>
      </c>
    </row>
    <row r="80" spans="1:19" x14ac:dyDescent="0.2">
      <c r="A80" t="s">
        <v>66</v>
      </c>
      <c r="C80">
        <v>2173</v>
      </c>
      <c r="Q80">
        <f>SUM(O80-C80)</f>
        <v>-2173</v>
      </c>
    </row>
    <row r="81" spans="1:19" x14ac:dyDescent="0.2">
      <c r="A81" t="s">
        <v>67</v>
      </c>
      <c r="C81">
        <v>134</v>
      </c>
      <c r="D81" s="36"/>
      <c r="Q81">
        <f>SUM(O81-C81)</f>
        <v>-134</v>
      </c>
    </row>
    <row r="82" spans="1:19" x14ac:dyDescent="0.2">
      <c r="A82" t="s">
        <v>3</v>
      </c>
      <c r="C82" s="34">
        <v>898</v>
      </c>
      <c r="G82" s="30"/>
      <c r="H82" s="34"/>
      <c r="I82" s="34"/>
      <c r="J82" s="34"/>
      <c r="K82" s="34"/>
      <c r="L82" s="34"/>
      <c r="M82" s="34"/>
      <c r="N82" s="34"/>
      <c r="O82" s="34"/>
      <c r="P82" s="30"/>
      <c r="Q82">
        <f>SUM(O82-C82)</f>
        <v>-898</v>
      </c>
      <c r="R82" t="s">
        <v>88</v>
      </c>
    </row>
    <row r="83" spans="1:19" x14ac:dyDescent="0.2">
      <c r="G83" t="s">
        <v>35</v>
      </c>
      <c r="R83">
        <f>SUM(Q78:Q82)</f>
        <v>-11841</v>
      </c>
      <c r="S83" t="s">
        <v>69</v>
      </c>
    </row>
  </sheetData>
  <phoneticPr fontId="3" type="noConversion"/>
  <pageMargins left="0.78740157499999996" right="0.78740157499999996" top="0.984251969" bottom="0.984251969" header="0.4921259845" footer="0.492125984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2F09-D862-4CD3-82BE-DB8F414B0F48}">
  <sheetPr>
    <tabColor indexed="44"/>
  </sheetPr>
  <dimension ref="A1:P66"/>
  <sheetViews>
    <sheetView topLeftCell="A42" workbookViewId="0">
      <selection activeCell="J63" sqref="J63"/>
    </sheetView>
  </sheetViews>
  <sheetFormatPr baseColWidth="10" defaultRowHeight="12.75" x14ac:dyDescent="0.2"/>
  <cols>
    <col min="1" max="1" width="19.42578125" customWidth="1"/>
    <col min="2" max="2" width="7.5703125" customWidth="1"/>
    <col min="3" max="3" width="11.28515625" customWidth="1"/>
  </cols>
  <sheetData>
    <row r="1" spans="1:15" ht="15.75" x14ac:dyDescent="0.25">
      <c r="A1" s="1" t="str">
        <f>'Ablesewerte Wasser'!A1</f>
        <v>Wasser</v>
      </c>
    </row>
    <row r="2" spans="1:15" x14ac:dyDescent="0.2"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15.75" x14ac:dyDescent="0.25">
      <c r="A3" s="1">
        <v>2005</v>
      </c>
      <c r="B3" t="s">
        <v>69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/>
    </row>
    <row r="5" spans="1:15" x14ac:dyDescent="0.2">
      <c r="A5" t="s">
        <v>65</v>
      </c>
      <c r="C5" s="7">
        <v>0</v>
      </c>
      <c r="D5" s="7">
        <f>SUM('Ablesewerte Wasser'!E5-'Ablesewerte Wasser'!D5)</f>
        <v>0</v>
      </c>
      <c r="E5">
        <v>0</v>
      </c>
      <c r="F5">
        <f>SUM('Ablesewerte Wasser'!G5-'Ablesewerte Wasser'!F5)</f>
        <v>191</v>
      </c>
      <c r="G5">
        <f>SUM('Ablesewerte Wasser'!H5-'Ablesewerte Wasser'!G5)</f>
        <v>110</v>
      </c>
      <c r="H5">
        <f>SUM('Ablesewerte Wasser'!I5-'Ablesewerte Wasser'!H5)</f>
        <v>245</v>
      </c>
      <c r="I5">
        <f>SUM('Ablesewerte Wasser'!J5-'Ablesewerte Wasser'!I5)</f>
        <v>189</v>
      </c>
      <c r="J5">
        <f>SUM('Ablesewerte Wasser'!K5-'Ablesewerte Wasser'!J5)</f>
        <v>142</v>
      </c>
      <c r="K5">
        <f>SUM('Ablesewerte Wasser'!L5-'Ablesewerte Wasser'!K5)</f>
        <v>161</v>
      </c>
      <c r="L5">
        <f>SUM('Ablesewerte Wasser'!M5-'Ablesewerte Wasser'!L5)</f>
        <v>188</v>
      </c>
      <c r="M5">
        <f>SUM('Ablesewerte Wasser'!N5-'Ablesewerte Wasser'!M5)</f>
        <v>191</v>
      </c>
      <c r="N5">
        <f>SUM('Ablesewerte Wasser'!O5-'Ablesewerte Wasser'!N5)</f>
        <v>168</v>
      </c>
    </row>
    <row r="6" spans="1:15" x14ac:dyDescent="0.2">
      <c r="A6" t="s">
        <v>66</v>
      </c>
      <c r="C6" s="7">
        <f>SUM('Ablesewerte Wasser'!D6-'Ablesewerte Wasser'!C6)</f>
        <v>0</v>
      </c>
      <c r="D6" s="7">
        <f>SUM('Ablesewerte Wasser'!E6-'Ablesewerte Wasser'!D6)</f>
        <v>0</v>
      </c>
      <c r="E6">
        <v>0</v>
      </c>
      <c r="F6">
        <f>SUM('Ablesewerte Wasser'!G6-'Ablesewerte Wasser'!F6)</f>
        <v>15</v>
      </c>
      <c r="G6">
        <f>SUM('Ablesewerte Wasser'!H6-'Ablesewerte Wasser'!G6)</f>
        <v>8</v>
      </c>
      <c r="H6">
        <f>SUM('Ablesewerte Wasser'!I6-'Ablesewerte Wasser'!H6)</f>
        <v>37</v>
      </c>
      <c r="I6">
        <f>SUM('Ablesewerte Wasser'!J6-'Ablesewerte Wasser'!I6)</f>
        <v>10</v>
      </c>
      <c r="J6">
        <f>SUM('Ablesewerte Wasser'!K6-'Ablesewerte Wasser'!J6)</f>
        <v>2</v>
      </c>
      <c r="K6">
        <f>SUM('Ablesewerte Wasser'!L6-'Ablesewerte Wasser'!K6)</f>
        <v>11</v>
      </c>
      <c r="L6">
        <f>SUM('Ablesewerte Wasser'!M6-'Ablesewerte Wasser'!L6)</f>
        <v>15</v>
      </c>
      <c r="M6">
        <f>SUM('Ablesewerte Wasser'!N6-'Ablesewerte Wasser'!M6)</f>
        <v>18</v>
      </c>
      <c r="N6">
        <f>SUM('Ablesewerte Wasser'!O6-'Ablesewerte Wasser'!N6)</f>
        <v>15</v>
      </c>
    </row>
    <row r="7" spans="1:15" x14ac:dyDescent="0.2">
      <c r="A7" t="s">
        <v>67</v>
      </c>
      <c r="C7" s="7">
        <v>0</v>
      </c>
      <c r="D7" s="7">
        <f>SUM('Ablesewerte Wasser'!E7-'Ablesewerte Wasser'!D7)</f>
        <v>0</v>
      </c>
      <c r="E7" s="7">
        <f>SUM('Ablesewerte Wasser'!F7-'Ablesewerte Wasser'!E7)</f>
        <v>0</v>
      </c>
      <c r="F7" s="7">
        <f>SUM('Ablesewerte Wasser'!G7-'Ablesewerte Wasser'!F7)</f>
        <v>0</v>
      </c>
      <c r="G7" s="7">
        <f>SUM('Ablesewerte Wasser'!H7-'Ablesewerte Wasser'!G7)</f>
        <v>0</v>
      </c>
      <c r="H7" s="7">
        <v>0</v>
      </c>
      <c r="I7">
        <f>SUM('Ablesewerte Wasser'!J7-'Ablesewerte Wasser'!I7)</f>
        <v>3</v>
      </c>
      <c r="J7">
        <f>SUM('Ablesewerte Wasser'!K7-'Ablesewerte Wasser'!J7)</f>
        <v>7</v>
      </c>
      <c r="K7">
        <f>SUM('Ablesewerte Wasser'!L7-'Ablesewerte Wasser'!K7)</f>
        <v>5</v>
      </c>
      <c r="L7">
        <f>SUM('Ablesewerte Wasser'!M7-'Ablesewerte Wasser'!L7)</f>
        <v>2</v>
      </c>
      <c r="M7">
        <f>SUM('Ablesewerte Wasser'!N7-'Ablesewerte Wasser'!M7)</f>
        <v>2</v>
      </c>
      <c r="N7">
        <f>SUM('Ablesewerte Wasser'!O7-'Ablesewerte Wasser'!N7)</f>
        <v>2</v>
      </c>
    </row>
    <row r="8" spans="1:15" x14ac:dyDescent="0.2">
      <c r="A8" t="s">
        <v>3</v>
      </c>
      <c r="C8" s="7">
        <v>0</v>
      </c>
      <c r="D8" s="7">
        <f>SUM('Ablesewerte Wasser'!E8-'Ablesewerte Wasser'!D8)</f>
        <v>0</v>
      </c>
      <c r="E8" s="7">
        <f>SUM('Ablesewerte Wasser'!F8-'Ablesewerte Wasser'!E8)</f>
        <v>0</v>
      </c>
      <c r="F8" s="7">
        <v>0</v>
      </c>
      <c r="G8">
        <f>SUM('Ablesewerte Wasser'!H8-'Ablesewerte Wasser'!G8)</f>
        <v>20</v>
      </c>
      <c r="H8">
        <f>SUM('Ablesewerte Wasser'!I8-'Ablesewerte Wasser'!H8)</f>
        <v>24</v>
      </c>
      <c r="I8">
        <f>SUM('Ablesewerte Wasser'!J8-'Ablesewerte Wasser'!I8)</f>
        <v>31</v>
      </c>
      <c r="J8">
        <f>SUM('Ablesewerte Wasser'!K8-'Ablesewerte Wasser'!J8)</f>
        <v>10</v>
      </c>
      <c r="K8">
        <f>SUM('Ablesewerte Wasser'!L8-'Ablesewerte Wasser'!K8)</f>
        <v>30</v>
      </c>
      <c r="L8">
        <f>SUM('Ablesewerte Wasser'!M8-'Ablesewerte Wasser'!L8)</f>
        <v>34</v>
      </c>
      <c r="M8">
        <f>SUM('Ablesewerte Wasser'!N8-'Ablesewerte Wasser'!M8)</f>
        <v>30</v>
      </c>
      <c r="N8">
        <f>SUM('Ablesewerte Wasser'!O8-'Ablesewerte Wasser'!N8)</f>
        <v>35</v>
      </c>
    </row>
    <row r="10" spans="1:15" x14ac:dyDescent="0.2">
      <c r="A10" s="7" t="s">
        <v>73</v>
      </c>
      <c r="B10" s="7"/>
    </row>
    <row r="11" spans="1:15" x14ac:dyDescent="0.2">
      <c r="A11" s="7" t="s">
        <v>74</v>
      </c>
      <c r="B11" s="7"/>
    </row>
    <row r="13" spans="1:15" ht="15.75" x14ac:dyDescent="0.25">
      <c r="A13" s="1">
        <v>2006</v>
      </c>
      <c r="B13" t="s">
        <v>69</v>
      </c>
      <c r="C13" s="6" t="s">
        <v>6</v>
      </c>
      <c r="D13" s="6" t="s">
        <v>7</v>
      </c>
      <c r="E13" s="6" t="s">
        <v>8</v>
      </c>
      <c r="F13" s="6" t="s">
        <v>9</v>
      </c>
      <c r="G13" s="6" t="s">
        <v>10</v>
      </c>
      <c r="H13" s="6" t="s">
        <v>11</v>
      </c>
      <c r="I13" s="6" t="s">
        <v>12</v>
      </c>
      <c r="J13" s="6" t="s">
        <v>13</v>
      </c>
      <c r="K13" s="6" t="s">
        <v>14</v>
      </c>
      <c r="L13" s="6" t="s">
        <v>15</v>
      </c>
      <c r="M13" s="6" t="s">
        <v>16</v>
      </c>
      <c r="N13" s="6" t="s">
        <v>17</v>
      </c>
    </row>
    <row r="15" spans="1:15" x14ac:dyDescent="0.2">
      <c r="C15" s="8"/>
      <c r="D15" s="8"/>
      <c r="E15" s="8"/>
      <c r="F15" s="8"/>
      <c r="G15" s="8"/>
      <c r="H15" s="8"/>
    </row>
    <row r="16" spans="1:15" x14ac:dyDescent="0.2">
      <c r="A16" t="s">
        <v>65</v>
      </c>
      <c r="C16" s="8">
        <f>SUM('Ablesewerte Wasser'!D16-'Ablesewerte Wasser'!C16)</f>
        <v>198</v>
      </c>
      <c r="D16" s="8">
        <f>SUM('Ablesewerte Wasser'!E16-'Ablesewerte Wasser'!D16)</f>
        <v>207</v>
      </c>
      <c r="E16" s="8">
        <f>SUM('Ablesewerte Wasser'!F16-'Ablesewerte Wasser'!E16)</f>
        <v>247</v>
      </c>
      <c r="F16" s="8">
        <f>SUM('Ablesewerte Wasser'!G16-'Ablesewerte Wasser'!F16)</f>
        <v>132</v>
      </c>
      <c r="G16" s="8">
        <f>SUM('Ablesewerte Wasser'!H16-'Ablesewerte Wasser'!G16)</f>
        <v>219</v>
      </c>
      <c r="H16" s="8">
        <f>SUM('Ablesewerte Wasser'!I16-'Ablesewerte Wasser'!H16)</f>
        <v>188</v>
      </c>
      <c r="I16" s="8">
        <f>SUM('Ablesewerte Wasser'!J16-'Ablesewerte Wasser'!I16)</f>
        <v>198</v>
      </c>
      <c r="J16" s="8">
        <f>SUM('Ablesewerte Wasser'!K16-'Ablesewerte Wasser'!J16)</f>
        <v>109</v>
      </c>
      <c r="K16" s="8">
        <f>SUM('Ablesewerte Wasser'!L16-'Ablesewerte Wasser'!K16)</f>
        <v>137</v>
      </c>
      <c r="L16" s="8">
        <f>SUM('Ablesewerte Wasser'!M16-'Ablesewerte Wasser'!L16)</f>
        <v>266</v>
      </c>
      <c r="M16" s="8">
        <f>SUM('Ablesewerte Wasser'!N16-'Ablesewerte Wasser'!M16)</f>
        <v>289</v>
      </c>
      <c r="N16" s="8">
        <f>SUM('Ablesewerte Wasser'!O16-'Ablesewerte Wasser'!N16)</f>
        <v>204</v>
      </c>
    </row>
    <row r="17" spans="1:16" x14ac:dyDescent="0.2">
      <c r="A17" t="s">
        <v>66</v>
      </c>
      <c r="C17" s="8">
        <f>SUM('Ablesewerte Wasser'!D17-'Ablesewerte Wasser'!C17)</f>
        <v>20</v>
      </c>
      <c r="D17" s="8">
        <f>SUM('Ablesewerte Wasser'!E17-'Ablesewerte Wasser'!D17)</f>
        <v>22</v>
      </c>
      <c r="E17" s="8">
        <f>SUM('Ablesewerte Wasser'!F17-'Ablesewerte Wasser'!E17)</f>
        <v>17.199999999999989</v>
      </c>
      <c r="F17" s="8">
        <f>SUM('Ablesewerte Wasser'!G17-'Ablesewerte Wasser'!F17)</f>
        <v>9.9000000000000341</v>
      </c>
      <c r="G17" s="8">
        <f>SUM('Ablesewerte Wasser'!H17-'Ablesewerte Wasser'!G17)</f>
        <v>9.8999999999999773</v>
      </c>
      <c r="H17" s="8">
        <f>SUM('Ablesewerte Wasser'!I17-'Ablesewerte Wasser'!H17)</f>
        <v>15</v>
      </c>
      <c r="I17" s="8">
        <f>SUM('Ablesewerte Wasser'!J17-'Ablesewerte Wasser'!I17)</f>
        <v>19</v>
      </c>
      <c r="J17" s="8">
        <f>SUM('Ablesewerte Wasser'!K17-'Ablesewerte Wasser'!J17)</f>
        <v>2</v>
      </c>
      <c r="K17" s="8">
        <f>SUM('Ablesewerte Wasser'!L17-'Ablesewerte Wasser'!K17)</f>
        <v>8</v>
      </c>
      <c r="L17" s="8">
        <f>SUM('Ablesewerte Wasser'!M17-'Ablesewerte Wasser'!L17)</f>
        <v>18</v>
      </c>
      <c r="M17" s="8">
        <f>SUM('Ablesewerte Wasser'!N17-'Ablesewerte Wasser'!M17)</f>
        <v>22</v>
      </c>
      <c r="N17" s="8">
        <f>SUM('Ablesewerte Wasser'!O17-'Ablesewerte Wasser'!N17)</f>
        <v>15</v>
      </c>
    </row>
    <row r="18" spans="1:16" x14ac:dyDescent="0.2">
      <c r="A18" t="s">
        <v>67</v>
      </c>
      <c r="C18" s="8">
        <f>SUM('Ablesewerte Wasser'!D18-'Ablesewerte Wasser'!C18)</f>
        <v>2</v>
      </c>
      <c r="D18" s="8">
        <f>SUM('Ablesewerte Wasser'!E18-'Ablesewerte Wasser'!D18)</f>
        <v>3</v>
      </c>
      <c r="E18" s="8">
        <f>SUM('Ablesewerte Wasser'!F18-'Ablesewerte Wasser'!E18)</f>
        <v>2</v>
      </c>
      <c r="F18" s="8">
        <f>SUM('Ablesewerte Wasser'!G18-'Ablesewerte Wasser'!F18)</f>
        <v>2</v>
      </c>
      <c r="G18" s="8">
        <f>SUM('Ablesewerte Wasser'!H18-'Ablesewerte Wasser'!G18)</f>
        <v>3</v>
      </c>
      <c r="H18" s="8">
        <f>SUM('Ablesewerte Wasser'!I18-'Ablesewerte Wasser'!H18)</f>
        <v>4</v>
      </c>
      <c r="I18" s="8">
        <f>SUM('Ablesewerte Wasser'!J18-'Ablesewerte Wasser'!I18)</f>
        <v>8</v>
      </c>
      <c r="J18" s="8">
        <f>SUM('Ablesewerte Wasser'!K18-'Ablesewerte Wasser'!J18)</f>
        <v>27</v>
      </c>
      <c r="K18" s="8">
        <f>SUM('Ablesewerte Wasser'!L18-'Ablesewerte Wasser'!K18)</f>
        <v>24</v>
      </c>
      <c r="L18" s="8">
        <f>SUM('Ablesewerte Wasser'!M18-'Ablesewerte Wasser'!L18)</f>
        <v>24</v>
      </c>
      <c r="M18" s="8">
        <f>SUM('Ablesewerte Wasser'!N18-'Ablesewerte Wasser'!M18)</f>
        <v>14.199999999999989</v>
      </c>
      <c r="N18" s="8">
        <f>SUM('Ablesewerte Wasser'!O18-'Ablesewerte Wasser'!N18)</f>
        <v>5.8000000000000114</v>
      </c>
    </row>
    <row r="19" spans="1:16" x14ac:dyDescent="0.2">
      <c r="A19" t="s">
        <v>3</v>
      </c>
      <c r="C19" s="8">
        <f>SUM('Ablesewerte Wasser'!D19-'Ablesewerte Wasser'!C19)</f>
        <v>44</v>
      </c>
      <c r="D19" s="8">
        <f>SUM('Ablesewerte Wasser'!E19-'Ablesewerte Wasser'!D19)</f>
        <v>44.299999999999955</v>
      </c>
      <c r="E19" s="8">
        <f>SUM('Ablesewerte Wasser'!F19-'Ablesewerte Wasser'!E19)</f>
        <v>38.700000000000045</v>
      </c>
      <c r="F19" s="8">
        <f>SUM('Ablesewerte Wasser'!G19-'Ablesewerte Wasser'!F19)</f>
        <v>31</v>
      </c>
      <c r="G19" s="8">
        <f>SUM('Ablesewerte Wasser'!H19-'Ablesewerte Wasser'!G19)</f>
        <v>33</v>
      </c>
      <c r="H19" s="8">
        <f>SUM('Ablesewerte Wasser'!I19-'Ablesewerte Wasser'!H19)</f>
        <v>28</v>
      </c>
      <c r="I19" s="8">
        <f>SUM('Ablesewerte Wasser'!J19-'Ablesewerte Wasser'!I19)</f>
        <v>24</v>
      </c>
      <c r="J19" s="8">
        <f>SUM('Ablesewerte Wasser'!K19-'Ablesewerte Wasser'!J19)</f>
        <v>9</v>
      </c>
      <c r="K19" s="8">
        <f>SUM('Ablesewerte Wasser'!L19-'Ablesewerte Wasser'!K19)</f>
        <v>29</v>
      </c>
      <c r="L19" s="8">
        <f>SUM('Ablesewerte Wasser'!M19-'Ablesewerte Wasser'!L19)</f>
        <v>32</v>
      </c>
      <c r="M19" s="8">
        <f>SUM('Ablesewerte Wasser'!N19-'Ablesewerte Wasser'!M19)</f>
        <v>36</v>
      </c>
      <c r="N19" s="8">
        <f>SUM('Ablesewerte Wasser'!O19-'Ablesewerte Wasser'!N19)</f>
        <v>31</v>
      </c>
    </row>
    <row r="21" spans="1:16" ht="15.75" x14ac:dyDescent="0.25">
      <c r="A21" s="1">
        <v>2007</v>
      </c>
      <c r="B21" t="s">
        <v>69</v>
      </c>
      <c r="C21" s="6" t="s">
        <v>6</v>
      </c>
      <c r="D21" s="6" t="s">
        <v>7</v>
      </c>
      <c r="E21" s="6" t="s">
        <v>8</v>
      </c>
      <c r="F21" s="6" t="s">
        <v>9</v>
      </c>
      <c r="G21" s="6" t="s">
        <v>10</v>
      </c>
      <c r="H21" s="6" t="s">
        <v>11</v>
      </c>
      <c r="I21" s="6" t="s">
        <v>12</v>
      </c>
      <c r="J21" s="6" t="s">
        <v>13</v>
      </c>
      <c r="K21" s="6" t="s">
        <v>14</v>
      </c>
      <c r="L21" s="6" t="s">
        <v>15</v>
      </c>
      <c r="M21" s="6" t="s">
        <v>16</v>
      </c>
      <c r="N21" s="6" t="s">
        <v>17</v>
      </c>
    </row>
    <row r="23" spans="1:16" x14ac:dyDescent="0.2">
      <c r="A23" t="s">
        <v>65</v>
      </c>
      <c r="C23">
        <f>SUM('Ablesewerte Wasser'!D23-'Ablesewerte Wasser'!C23)</f>
        <v>221</v>
      </c>
      <c r="D23">
        <f>SUM('Ablesewerte Wasser'!E23-'Ablesewerte Wasser'!D23)</f>
        <v>223</v>
      </c>
      <c r="E23">
        <f>SUM('Ablesewerte Wasser'!F23-'Ablesewerte Wasser'!E23)</f>
        <v>285</v>
      </c>
      <c r="F23">
        <f>SUM('Ablesewerte Wasser'!G23-'Ablesewerte Wasser'!F23)</f>
        <v>179</v>
      </c>
      <c r="G23">
        <f>SUM('Ablesewerte Wasser'!H23-'Ablesewerte Wasser'!G23)</f>
        <v>184</v>
      </c>
      <c r="H23">
        <f>SUM('Ablesewerte Wasser'!I23-'Ablesewerte Wasser'!H23)</f>
        <v>222</v>
      </c>
      <c r="I23">
        <f>SUM('Ablesewerte Wasser'!J23-'Ablesewerte Wasser'!I23)</f>
        <v>235</v>
      </c>
      <c r="J23">
        <f>SUM('Ablesewerte Wasser'!K23-'Ablesewerte Wasser'!J23)</f>
        <v>9</v>
      </c>
      <c r="K23">
        <f>SUM('Ablesewerte Wasser'!L23-'Ablesewerte Wasser'!K23)</f>
        <v>185</v>
      </c>
      <c r="L23">
        <f>SUM('Ablesewerte Wasser'!M23-'Ablesewerte Wasser'!L23)</f>
        <v>228</v>
      </c>
      <c r="M23">
        <f>SUM('Ablesewerte Wasser'!N23-'Ablesewerte Wasser'!M23)</f>
        <v>257</v>
      </c>
      <c r="N23">
        <f>SUM('Ablesewerte Wasser'!O23-'Ablesewerte Wasser'!N23)</f>
        <v>218</v>
      </c>
    </row>
    <row r="24" spans="1:16" x14ac:dyDescent="0.2">
      <c r="A24" t="s">
        <v>66</v>
      </c>
      <c r="C24">
        <f>SUM('Ablesewerte Wasser'!D24-'Ablesewerte Wasser'!C24)</f>
        <v>19</v>
      </c>
      <c r="D24">
        <f>SUM('Ablesewerte Wasser'!E24-'Ablesewerte Wasser'!D24)</f>
        <v>22</v>
      </c>
      <c r="E24">
        <f>SUM('Ablesewerte Wasser'!F24-'Ablesewerte Wasser'!E24)</f>
        <v>23</v>
      </c>
      <c r="F24">
        <f>SUM('Ablesewerte Wasser'!G24-'Ablesewerte Wasser'!F24)</f>
        <v>19</v>
      </c>
      <c r="G24">
        <f>SUM('Ablesewerte Wasser'!H24-'Ablesewerte Wasser'!G24)</f>
        <v>11</v>
      </c>
      <c r="H24">
        <f>SUM('Ablesewerte Wasser'!I24-'Ablesewerte Wasser'!H24)</f>
        <v>16</v>
      </c>
      <c r="I24">
        <f>SUM('Ablesewerte Wasser'!J24-'Ablesewerte Wasser'!I24)</f>
        <v>22</v>
      </c>
      <c r="J24">
        <f>SUM('Ablesewerte Wasser'!K24-'Ablesewerte Wasser'!J24)</f>
        <v>1</v>
      </c>
      <c r="K24">
        <f>SUM('Ablesewerte Wasser'!L24-'Ablesewerte Wasser'!K24)</f>
        <v>10</v>
      </c>
      <c r="L24">
        <f>SUM('Ablesewerte Wasser'!M24-'Ablesewerte Wasser'!L24)</f>
        <v>21</v>
      </c>
      <c r="M24">
        <f>SUM('Ablesewerte Wasser'!N24-'Ablesewerte Wasser'!M24)</f>
        <v>24</v>
      </c>
      <c r="N24">
        <f>SUM('Ablesewerte Wasser'!O24-'Ablesewerte Wasser'!N24)</f>
        <v>15</v>
      </c>
    </row>
    <row r="25" spans="1:16" x14ac:dyDescent="0.2">
      <c r="A25" t="s">
        <v>67</v>
      </c>
      <c r="C25">
        <f>SUM('Ablesewerte Wasser'!D25-'Ablesewerte Wasser'!C25)</f>
        <v>4</v>
      </c>
      <c r="D25">
        <f>SUM('Ablesewerte Wasser'!E25-'Ablesewerte Wasser'!D25)</f>
        <v>3</v>
      </c>
      <c r="E25">
        <f>SUM('Ablesewerte Wasser'!F25-'Ablesewerte Wasser'!E25)</f>
        <v>6</v>
      </c>
      <c r="F25">
        <f>SUM('Ablesewerte Wasser'!G25-'Ablesewerte Wasser'!F25)</f>
        <v>5</v>
      </c>
      <c r="G25">
        <f>SUM('Ablesewerte Wasser'!H25-'Ablesewerte Wasser'!G25)</f>
        <v>4</v>
      </c>
      <c r="H25">
        <f>SUM('Ablesewerte Wasser'!I25-'Ablesewerte Wasser'!H25)</f>
        <v>3</v>
      </c>
      <c r="I25">
        <f>SUM('Ablesewerte Wasser'!J25-'Ablesewerte Wasser'!I25)</f>
        <v>40</v>
      </c>
      <c r="J25">
        <f>SUM('Ablesewerte Wasser'!K25-'Ablesewerte Wasser'!J25)</f>
        <v>0</v>
      </c>
      <c r="K25">
        <f>SUM('Ablesewerte Wasser'!L25-'Ablesewerte Wasser'!K25)</f>
        <v>6</v>
      </c>
      <c r="L25">
        <f>SUM('Ablesewerte Wasser'!M25-'Ablesewerte Wasser'!L25)</f>
        <v>9</v>
      </c>
      <c r="M25">
        <f>SUM('Ablesewerte Wasser'!N25-'Ablesewerte Wasser'!M25)</f>
        <v>4</v>
      </c>
      <c r="N25">
        <f>SUM('Ablesewerte Wasser'!O25-'Ablesewerte Wasser'!N25)</f>
        <v>3</v>
      </c>
    </row>
    <row r="26" spans="1:16" x14ac:dyDescent="0.2">
      <c r="A26" t="s">
        <v>3</v>
      </c>
      <c r="C26">
        <f>SUM('Ablesewerte Wasser'!D26-'Ablesewerte Wasser'!C26)</f>
        <v>40</v>
      </c>
      <c r="D26">
        <f>SUM('Ablesewerte Wasser'!E26-'Ablesewerte Wasser'!D26)</f>
        <v>37</v>
      </c>
      <c r="E26">
        <f>SUM('Ablesewerte Wasser'!F26-'Ablesewerte Wasser'!E26)</f>
        <v>42</v>
      </c>
      <c r="F26">
        <f>SUM('Ablesewerte Wasser'!G26-'Ablesewerte Wasser'!F26)</f>
        <v>32</v>
      </c>
      <c r="G26">
        <f>SUM('Ablesewerte Wasser'!H26-'Ablesewerte Wasser'!G26)</f>
        <v>35</v>
      </c>
      <c r="H26">
        <f>SUM('Ablesewerte Wasser'!I26-'Ablesewerte Wasser'!H26)</f>
        <v>27</v>
      </c>
      <c r="I26">
        <f>SUM('Ablesewerte Wasser'!J26-'Ablesewerte Wasser'!I26)</f>
        <v>27</v>
      </c>
      <c r="J26">
        <f>SUM('Ablesewerte Wasser'!K26-'Ablesewerte Wasser'!J26)</f>
        <v>11</v>
      </c>
      <c r="K26">
        <f>SUM('Ablesewerte Wasser'!L26-'Ablesewerte Wasser'!K26)</f>
        <v>25</v>
      </c>
      <c r="L26">
        <f>SUM('Ablesewerte Wasser'!M26-'Ablesewerte Wasser'!L26)</f>
        <v>29</v>
      </c>
      <c r="M26">
        <f>SUM('Ablesewerte Wasser'!N26-'Ablesewerte Wasser'!M26)</f>
        <v>31</v>
      </c>
      <c r="N26">
        <f>SUM('Ablesewerte Wasser'!O26-'Ablesewerte Wasser'!N26)</f>
        <v>32</v>
      </c>
    </row>
    <row r="28" spans="1:16" ht="15.75" x14ac:dyDescent="0.25">
      <c r="A28" s="1">
        <v>2008</v>
      </c>
      <c r="B28" t="s">
        <v>69</v>
      </c>
      <c r="C28" s="6" t="s">
        <v>6</v>
      </c>
      <c r="D28" s="6" t="s">
        <v>7</v>
      </c>
      <c r="E28" s="6" t="s">
        <v>8</v>
      </c>
      <c r="F28" s="6" t="s">
        <v>9</v>
      </c>
      <c r="G28" s="6" t="s">
        <v>10</v>
      </c>
      <c r="H28" s="6" t="s">
        <v>11</v>
      </c>
      <c r="I28" s="6" t="s">
        <v>12</v>
      </c>
      <c r="J28" s="6" t="s">
        <v>13</v>
      </c>
      <c r="K28" s="6" t="s">
        <v>14</v>
      </c>
      <c r="L28" s="6" t="s">
        <v>15</v>
      </c>
      <c r="M28" s="6" t="s">
        <v>16</v>
      </c>
      <c r="N28" s="6" t="s">
        <v>17</v>
      </c>
    </row>
    <row r="29" spans="1:16" x14ac:dyDescent="0.2">
      <c r="O29" s="18"/>
    </row>
    <row r="30" spans="1:16" x14ac:dyDescent="0.2">
      <c r="A30" t="s">
        <v>65</v>
      </c>
      <c r="C30">
        <f>SUM('Ablesewerte Wasser'!D30-'Ablesewerte Wasser'!C30)</f>
        <v>261</v>
      </c>
      <c r="D30">
        <f>SUM('Ablesewerte Wasser'!E30-'Ablesewerte Wasser'!D30)</f>
        <v>219</v>
      </c>
      <c r="E30">
        <f>SUM('Ablesewerte Wasser'!F30-'Ablesewerte Wasser'!E30)</f>
        <v>172</v>
      </c>
      <c r="F30">
        <f>SUM('Ablesewerte Wasser'!G30-'Ablesewerte Wasser'!F30)</f>
        <v>310</v>
      </c>
      <c r="G30">
        <f>SUM('Ablesewerte Wasser'!H30-'Ablesewerte Wasser'!G30)</f>
        <v>166</v>
      </c>
      <c r="H30">
        <f>SUM('Ablesewerte Wasser'!I30-'Ablesewerte Wasser'!H30)</f>
        <v>316</v>
      </c>
      <c r="I30">
        <f>SUM('Ablesewerte Wasser'!J30-'Ablesewerte Wasser'!I30)</f>
        <v>228</v>
      </c>
      <c r="J30">
        <f>SUM('Ablesewerte Wasser'!K30-'Ablesewerte Wasser'!J30)</f>
        <v>89</v>
      </c>
      <c r="K30">
        <f>SUM('Ablesewerte Wasser'!L30-'Ablesewerte Wasser'!K30)</f>
        <v>218</v>
      </c>
      <c r="L30">
        <f>SUM('Ablesewerte Wasser'!M30-'Ablesewerte Wasser'!L30)</f>
        <v>201</v>
      </c>
      <c r="M30">
        <f>SUM('Ablesewerte Wasser'!N30-'Ablesewerte Wasser'!M30)</f>
        <v>266</v>
      </c>
      <c r="N30">
        <f>SUM('Ablesewerte Wasser'!O30-'Ablesewerte Wasser'!N30)</f>
        <v>177</v>
      </c>
      <c r="P30">
        <f>SUM(C30:O30)</f>
        <v>2623</v>
      </c>
    </row>
    <row r="31" spans="1:16" x14ac:dyDescent="0.2">
      <c r="A31" t="s">
        <v>66</v>
      </c>
      <c r="C31">
        <f>SUM('Ablesewerte Wasser'!D31-'Ablesewerte Wasser'!C31)</f>
        <v>24</v>
      </c>
      <c r="D31">
        <f>SUM('Ablesewerte Wasser'!E31-'Ablesewerte Wasser'!D31)</f>
        <v>23</v>
      </c>
      <c r="E31">
        <f>SUM('Ablesewerte Wasser'!F31-'Ablesewerte Wasser'!E31)</f>
        <v>21</v>
      </c>
      <c r="F31">
        <f>SUM('Ablesewerte Wasser'!G31-'Ablesewerte Wasser'!F31)</f>
        <v>21</v>
      </c>
      <c r="G31">
        <f>SUM('Ablesewerte Wasser'!H31-'Ablesewerte Wasser'!G31)</f>
        <v>15</v>
      </c>
      <c r="H31">
        <f>SUM('Ablesewerte Wasser'!I31-'Ablesewerte Wasser'!H31)</f>
        <v>15</v>
      </c>
      <c r="I31">
        <f>SUM('Ablesewerte Wasser'!J31-'Ablesewerte Wasser'!I31)</f>
        <v>17</v>
      </c>
      <c r="J31">
        <f>SUM('Ablesewerte Wasser'!K31-'Ablesewerte Wasser'!J31)</f>
        <v>1</v>
      </c>
      <c r="K31">
        <f>SUM('Ablesewerte Wasser'!L31-'Ablesewerte Wasser'!K31)</f>
        <v>15</v>
      </c>
      <c r="L31">
        <f>SUM('Ablesewerte Wasser'!M31-'Ablesewerte Wasser'!L31)</f>
        <v>23</v>
      </c>
      <c r="M31">
        <f>SUM('Ablesewerte Wasser'!N31-'Ablesewerte Wasser'!M31)</f>
        <v>29</v>
      </c>
      <c r="N31">
        <f>SUM('Ablesewerte Wasser'!O31-'Ablesewerte Wasser'!N31)</f>
        <v>23</v>
      </c>
      <c r="P31">
        <f>SUM(C31:O31)</f>
        <v>227</v>
      </c>
    </row>
    <row r="32" spans="1:16" x14ac:dyDescent="0.2">
      <c r="A32" t="s">
        <v>67</v>
      </c>
      <c r="C32">
        <f>SUM('Ablesewerte Wasser'!D32-'Ablesewerte Wasser'!C32)</f>
        <v>4</v>
      </c>
      <c r="D32">
        <f>SUM('Ablesewerte Wasser'!E32-'Ablesewerte Wasser'!D32)</f>
        <v>3</v>
      </c>
      <c r="E32">
        <f>SUM('Ablesewerte Wasser'!F32-'Ablesewerte Wasser'!E32)</f>
        <v>3</v>
      </c>
      <c r="F32">
        <f>SUM('Ablesewerte Wasser'!G32-'Ablesewerte Wasser'!F32)</f>
        <v>6</v>
      </c>
      <c r="G32">
        <f>SUM('Ablesewerte Wasser'!H32-'Ablesewerte Wasser'!G32)</f>
        <v>24</v>
      </c>
      <c r="H32">
        <f>SUM('Ablesewerte Wasser'!I32-'Ablesewerte Wasser'!H32)</f>
        <v>4</v>
      </c>
      <c r="I32">
        <f>SUM('Ablesewerte Wasser'!J32-'Ablesewerte Wasser'!I32)</f>
        <v>7</v>
      </c>
      <c r="J32">
        <f>SUM('Ablesewerte Wasser'!K32-'Ablesewerte Wasser'!J32)</f>
        <v>8</v>
      </c>
      <c r="K32">
        <f>SUM('Ablesewerte Wasser'!L32-'Ablesewerte Wasser'!K32)</f>
        <v>5</v>
      </c>
      <c r="L32">
        <f>SUM('Ablesewerte Wasser'!M32-'Ablesewerte Wasser'!L32)</f>
        <v>19</v>
      </c>
      <c r="M32">
        <f>SUM('Ablesewerte Wasser'!N32-'Ablesewerte Wasser'!M32)</f>
        <v>6</v>
      </c>
      <c r="N32">
        <f>SUM('Ablesewerte Wasser'!O32-'Ablesewerte Wasser'!N32)</f>
        <v>4</v>
      </c>
      <c r="P32">
        <f>SUM(C32:O32)</f>
        <v>93</v>
      </c>
    </row>
    <row r="33" spans="1:16" x14ac:dyDescent="0.2">
      <c r="A33" t="s">
        <v>3</v>
      </c>
      <c r="C33">
        <f>SUM('Ablesewerte Wasser'!D33-'Ablesewerte Wasser'!C33)</f>
        <v>28</v>
      </c>
      <c r="D33">
        <f>SUM('Ablesewerte Wasser'!E33-'Ablesewerte Wasser'!D33)</f>
        <v>28</v>
      </c>
      <c r="E33">
        <f>SUM('Ablesewerte Wasser'!F33-'Ablesewerte Wasser'!E33)</f>
        <v>26</v>
      </c>
      <c r="F33">
        <f>SUM('Ablesewerte Wasser'!G33-'Ablesewerte Wasser'!F33)</f>
        <v>28</v>
      </c>
      <c r="G33">
        <f>SUM('Ablesewerte Wasser'!H33-'Ablesewerte Wasser'!G33)</f>
        <v>23</v>
      </c>
      <c r="H33">
        <f>SUM('Ablesewerte Wasser'!I33-'Ablesewerte Wasser'!H33)</f>
        <v>28</v>
      </c>
      <c r="I33">
        <f>SUM('Ablesewerte Wasser'!J33-'Ablesewerte Wasser'!I33)</f>
        <v>21</v>
      </c>
      <c r="J33">
        <f>SUM('Ablesewerte Wasser'!K33-'Ablesewerte Wasser'!J33)</f>
        <v>13</v>
      </c>
      <c r="K33">
        <f>SUM('Ablesewerte Wasser'!L33-'Ablesewerte Wasser'!K33)</f>
        <v>29</v>
      </c>
      <c r="L33">
        <f>SUM('Ablesewerte Wasser'!M33-'Ablesewerte Wasser'!L33)</f>
        <v>26</v>
      </c>
      <c r="M33">
        <f>SUM('Ablesewerte Wasser'!N33-'Ablesewerte Wasser'!M33)</f>
        <v>31</v>
      </c>
      <c r="N33">
        <f>SUM('Ablesewerte Wasser'!O33-'Ablesewerte Wasser'!N33)</f>
        <v>22</v>
      </c>
      <c r="P33">
        <f>SUM(C33:O33)</f>
        <v>303</v>
      </c>
    </row>
    <row r="35" spans="1:16" ht="15.75" x14ac:dyDescent="0.25">
      <c r="A35" s="1">
        <v>2009</v>
      </c>
      <c r="B35" t="s">
        <v>69</v>
      </c>
      <c r="C35" s="6" t="s">
        <v>6</v>
      </c>
      <c r="D35" s="6" t="s">
        <v>7</v>
      </c>
      <c r="E35" s="6" t="s">
        <v>8</v>
      </c>
      <c r="F35" s="6" t="s">
        <v>9</v>
      </c>
      <c r="G35" s="6" t="s">
        <v>10</v>
      </c>
      <c r="H35" s="6" t="s">
        <v>11</v>
      </c>
      <c r="I35" s="6" t="s">
        <v>12</v>
      </c>
      <c r="J35" s="6" t="s">
        <v>13</v>
      </c>
      <c r="K35" s="6" t="s">
        <v>14</v>
      </c>
      <c r="L35" s="6" t="s">
        <v>15</v>
      </c>
      <c r="M35" s="6" t="s">
        <v>16</v>
      </c>
      <c r="N35" s="6" t="s">
        <v>17</v>
      </c>
    </row>
    <row r="37" spans="1:16" x14ac:dyDescent="0.2">
      <c r="A37" t="s">
        <v>65</v>
      </c>
      <c r="C37">
        <f>SUM('Ablesewerte Wasser'!D37-'Ablesewerte Wasser'!C37)</f>
        <v>205</v>
      </c>
      <c r="D37">
        <f>SUM('Ablesewerte Wasser'!E37-'Ablesewerte Wasser'!D37)</f>
        <v>220</v>
      </c>
      <c r="E37">
        <f>SUM('Ablesewerte Wasser'!F37-'Ablesewerte Wasser'!E37)</f>
        <v>322</v>
      </c>
      <c r="F37">
        <f>SUM('Ablesewerte Wasser'!G37-'Ablesewerte Wasser'!F37)</f>
        <v>186</v>
      </c>
      <c r="G37">
        <f>SUM('Ablesewerte Wasser'!H37-'Ablesewerte Wasser'!G37)</f>
        <v>186</v>
      </c>
      <c r="H37">
        <f>SUM('Ablesewerte Wasser'!I37-'Ablesewerte Wasser'!H37)</f>
        <v>245</v>
      </c>
      <c r="I37">
        <f>SUM('Ablesewerte Wasser'!J37-'Ablesewerte Wasser'!I37)</f>
        <v>212</v>
      </c>
      <c r="J37">
        <f>SUM('Ablesewerte Wasser'!K37-'Ablesewerte Wasser'!J37)</f>
        <v>148</v>
      </c>
      <c r="K37">
        <f>SUM('Ablesewerte Wasser'!L37-'Ablesewerte Wasser'!K37)</f>
        <v>233</v>
      </c>
      <c r="L37">
        <f>SUM('Ablesewerte Wasser'!M37-'Ablesewerte Wasser'!L37)</f>
        <v>234</v>
      </c>
      <c r="M37">
        <f>SUM('Ablesewerte Wasser'!N37-'Ablesewerte Wasser'!M37)</f>
        <v>321</v>
      </c>
      <c r="N37">
        <f>SUM('Ablesewerte Wasser'!O37-'Ablesewerte Wasser'!N37)</f>
        <v>258</v>
      </c>
      <c r="P37">
        <f>SUM(C37:O37)</f>
        <v>2770</v>
      </c>
    </row>
    <row r="38" spans="1:16" x14ac:dyDescent="0.2">
      <c r="A38" t="s">
        <v>66</v>
      </c>
      <c r="C38">
        <f>SUM('Ablesewerte Wasser'!D38-'Ablesewerte Wasser'!C38)</f>
        <v>17</v>
      </c>
      <c r="D38">
        <f>SUM('Ablesewerte Wasser'!E38-'Ablesewerte Wasser'!D38)</f>
        <v>25</v>
      </c>
      <c r="E38">
        <f>SUM('Ablesewerte Wasser'!F38-'Ablesewerte Wasser'!E38)</f>
        <v>28</v>
      </c>
      <c r="F38">
        <f>SUM('Ablesewerte Wasser'!G38-'Ablesewerte Wasser'!F38)</f>
        <v>20</v>
      </c>
      <c r="G38">
        <f>SUM('Ablesewerte Wasser'!H38-'Ablesewerte Wasser'!G38)</f>
        <v>15</v>
      </c>
      <c r="H38">
        <f>SUM('Ablesewerte Wasser'!I38-'Ablesewerte Wasser'!H38)</f>
        <v>17</v>
      </c>
      <c r="I38">
        <f>SUM('Ablesewerte Wasser'!J38-'Ablesewerte Wasser'!I38)</f>
        <v>21</v>
      </c>
      <c r="J38">
        <f>SUM('Ablesewerte Wasser'!K38-'Ablesewerte Wasser'!J38)</f>
        <v>4</v>
      </c>
      <c r="K38">
        <f>SUM('Ablesewerte Wasser'!L38-'Ablesewerte Wasser'!K38)</f>
        <v>23</v>
      </c>
      <c r="L38">
        <f>SUM('Ablesewerte Wasser'!M38-'Ablesewerte Wasser'!L38)</f>
        <v>22</v>
      </c>
      <c r="M38">
        <f>SUM('Ablesewerte Wasser'!N38-'Ablesewerte Wasser'!M38)</f>
        <v>29</v>
      </c>
      <c r="N38">
        <f>SUM('Ablesewerte Wasser'!O38-'Ablesewerte Wasser'!N38)</f>
        <v>21</v>
      </c>
      <c r="P38">
        <f>SUM(C38:O38)</f>
        <v>242</v>
      </c>
    </row>
    <row r="39" spans="1:16" x14ac:dyDescent="0.2">
      <c r="A39" t="s">
        <v>67</v>
      </c>
      <c r="C39">
        <f>SUM('Ablesewerte Wasser'!D39-'Ablesewerte Wasser'!C39)</f>
        <v>3</v>
      </c>
      <c r="D39">
        <f>SUM('Ablesewerte Wasser'!E39-'Ablesewerte Wasser'!D39)</f>
        <v>4</v>
      </c>
      <c r="E39">
        <f>SUM('Ablesewerte Wasser'!F39-'Ablesewerte Wasser'!E39)</f>
        <v>7</v>
      </c>
      <c r="F39">
        <f>SUM('Ablesewerte Wasser'!G39-'Ablesewerte Wasser'!F39)</f>
        <v>4</v>
      </c>
      <c r="G39">
        <f>SUM('Ablesewerte Wasser'!H39-'Ablesewerte Wasser'!G39)</f>
        <v>4</v>
      </c>
      <c r="H39">
        <f>SUM('Ablesewerte Wasser'!I39-'Ablesewerte Wasser'!H39)</f>
        <v>5</v>
      </c>
      <c r="I39">
        <f>SUM('Ablesewerte Wasser'!J39-'Ablesewerte Wasser'!I39)</f>
        <v>5</v>
      </c>
      <c r="J39">
        <f>SUM('Ablesewerte Wasser'!K39-'Ablesewerte Wasser'!J39)</f>
        <v>6</v>
      </c>
      <c r="K39">
        <f>SUM('Ablesewerte Wasser'!L39-'Ablesewerte Wasser'!K39)</f>
        <v>8</v>
      </c>
      <c r="L39">
        <f>SUM('Ablesewerte Wasser'!M39-'Ablesewerte Wasser'!L39)</f>
        <v>5</v>
      </c>
      <c r="M39">
        <f>SUM('Ablesewerte Wasser'!N39-'Ablesewerte Wasser'!M39)</f>
        <v>8</v>
      </c>
      <c r="N39">
        <f>SUM('Ablesewerte Wasser'!O39-'Ablesewerte Wasser'!N39)</f>
        <v>5</v>
      </c>
      <c r="P39">
        <f>SUM(C39:O39)</f>
        <v>64</v>
      </c>
    </row>
    <row r="40" spans="1:16" x14ac:dyDescent="0.2">
      <c r="A40" t="s">
        <v>3</v>
      </c>
      <c r="C40">
        <f>SUM('Ablesewerte Wasser'!D40-'Ablesewerte Wasser'!C40)</f>
        <v>32</v>
      </c>
      <c r="D40">
        <f>SUM('Ablesewerte Wasser'!E40-'Ablesewerte Wasser'!D40)</f>
        <v>28</v>
      </c>
      <c r="E40">
        <f>SUM('Ablesewerte Wasser'!F40-'Ablesewerte Wasser'!E40)</f>
        <v>45</v>
      </c>
      <c r="F40" s="31">
        <v>28</v>
      </c>
      <c r="G40">
        <f>SUM('Ablesewerte Wasser'!H40-'Ablesewerte Wasser'!G40)</f>
        <v>32</v>
      </c>
      <c r="H40">
        <f>SUM('Ablesewerte Wasser'!I40-'Ablesewerte Wasser'!H40)</f>
        <v>28</v>
      </c>
      <c r="I40">
        <f>SUM('Ablesewerte Wasser'!J40-'Ablesewerte Wasser'!I40)</f>
        <v>19</v>
      </c>
      <c r="J40">
        <f>SUM('Ablesewerte Wasser'!K40-'Ablesewerte Wasser'!J40)</f>
        <v>11</v>
      </c>
      <c r="K40">
        <f>SUM('Ablesewerte Wasser'!L40-'Ablesewerte Wasser'!K40)</f>
        <v>27</v>
      </c>
      <c r="L40">
        <f>SUM('Ablesewerte Wasser'!M40-'Ablesewerte Wasser'!L40)</f>
        <v>29</v>
      </c>
      <c r="M40">
        <f>SUM('Ablesewerte Wasser'!N40-'Ablesewerte Wasser'!M40)</f>
        <v>35</v>
      </c>
      <c r="N40">
        <f>SUM('Ablesewerte Wasser'!O40-'Ablesewerte Wasser'!N40)</f>
        <v>27</v>
      </c>
      <c r="P40">
        <f>SUM(C40:O40)</f>
        <v>341</v>
      </c>
    </row>
    <row r="43" spans="1:16" ht="15.75" x14ac:dyDescent="0.25">
      <c r="A43" s="1">
        <v>2010</v>
      </c>
      <c r="B43" t="s">
        <v>69</v>
      </c>
      <c r="C43" s="6" t="s">
        <v>6</v>
      </c>
      <c r="D43" s="6" t="s">
        <v>7</v>
      </c>
      <c r="E43" s="6" t="s">
        <v>8</v>
      </c>
      <c r="F43" s="6" t="s">
        <v>9</v>
      </c>
      <c r="G43" s="6" t="s">
        <v>10</v>
      </c>
      <c r="H43" s="6" t="s">
        <v>11</v>
      </c>
      <c r="I43" s="6" t="s">
        <v>12</v>
      </c>
      <c r="J43" s="6" t="s">
        <v>13</v>
      </c>
      <c r="K43" s="6" t="s">
        <v>14</v>
      </c>
      <c r="L43" s="6" t="s">
        <v>15</v>
      </c>
      <c r="M43" s="6" t="s">
        <v>16</v>
      </c>
      <c r="N43" s="6" t="s">
        <v>17</v>
      </c>
    </row>
    <row r="45" spans="1:16" x14ac:dyDescent="0.2">
      <c r="A45" t="s">
        <v>65</v>
      </c>
      <c r="C45">
        <f>SUM('Ablesewerte Wasser'!D45-'Ablesewerte Wasser'!C45)</f>
        <v>276</v>
      </c>
      <c r="D45">
        <f>SUM('Ablesewerte Wasser'!E45-'Ablesewerte Wasser'!D45)</f>
        <v>241</v>
      </c>
      <c r="E45">
        <f>SUM('Ablesewerte Wasser'!F45-'Ablesewerte Wasser'!E45)</f>
        <v>153</v>
      </c>
      <c r="F45">
        <f>'Ablesewerte Wasser'!F46-'Ablesewerte Wasser'!E46+'Ablesewerte Wasser'!F45-'Ablesewerte Wasser'!E45</f>
        <v>291</v>
      </c>
      <c r="G45">
        <f>'Ablesewerte Wasser'!G46-'Ablesewerte Wasser'!F46</f>
        <v>267</v>
      </c>
      <c r="H45">
        <f>'Ablesewerte Wasser'!H46-'Ablesewerte Wasser'!G46</f>
        <v>194</v>
      </c>
      <c r="I45">
        <f>'Ablesewerte Wasser'!I46-'Ablesewerte Wasser'!H46</f>
        <v>291</v>
      </c>
      <c r="J45">
        <f>'Ablesewerte Wasser'!J46-'Ablesewerte Wasser'!I46</f>
        <v>247</v>
      </c>
      <c r="K45">
        <f>'Ablesewerte Wasser'!K46-'Ablesewerte Wasser'!J46</f>
        <v>123</v>
      </c>
      <c r="L45">
        <f>'Ablesewerte Wasser'!L46-'Ablesewerte Wasser'!K46</f>
        <v>218</v>
      </c>
      <c r="M45">
        <f>'Ablesewerte Wasser'!M46-'Ablesewerte Wasser'!L46</f>
        <v>339</v>
      </c>
      <c r="N45">
        <f>'Ablesewerte Wasser'!N46-'Ablesewerte Wasser'!M46</f>
        <v>292</v>
      </c>
      <c r="P45">
        <f>SUM(C45:O45)</f>
        <v>2932</v>
      </c>
    </row>
    <row r="46" spans="1:16" x14ac:dyDescent="0.2">
      <c r="A46" t="s">
        <v>66</v>
      </c>
      <c r="C46">
        <f>SUM('Ablesewerte Wasser'!D47-'Ablesewerte Wasser'!C47)</f>
        <v>19</v>
      </c>
      <c r="D46">
        <f>SUM('Ablesewerte Wasser'!E47-'Ablesewerte Wasser'!D47)</f>
        <v>21</v>
      </c>
      <c r="E46">
        <f>SUM('Ablesewerte Wasser'!F47-'Ablesewerte Wasser'!E47)</f>
        <v>34</v>
      </c>
      <c r="F46">
        <f>SUM('Ablesewerte Wasser'!G47-'Ablesewerte Wasser'!F47)</f>
        <v>32</v>
      </c>
      <c r="G46">
        <f>SUM('Ablesewerte Wasser'!H47-'Ablesewerte Wasser'!G47)</f>
        <v>13</v>
      </c>
      <c r="H46">
        <f>SUM('Ablesewerte Wasser'!I47-'Ablesewerte Wasser'!H47)</f>
        <v>37</v>
      </c>
      <c r="I46">
        <f>SUM('Ablesewerte Wasser'!J47-'Ablesewerte Wasser'!I47)</f>
        <v>27</v>
      </c>
      <c r="J46">
        <f>SUM('Ablesewerte Wasser'!K47-'Ablesewerte Wasser'!J47)</f>
        <v>2</v>
      </c>
      <c r="K46">
        <f>SUM('Ablesewerte Wasser'!L47-'Ablesewerte Wasser'!K47)</f>
        <v>24</v>
      </c>
      <c r="L46">
        <f>SUM('Ablesewerte Wasser'!M47-'Ablesewerte Wasser'!L47)</f>
        <v>41</v>
      </c>
      <c r="M46">
        <f>SUM('Ablesewerte Wasser'!N47-'Ablesewerte Wasser'!M47)</f>
        <v>32</v>
      </c>
      <c r="N46">
        <f>SUM('Ablesewerte Wasser'!O47-'Ablesewerte Wasser'!N47)</f>
        <v>19</v>
      </c>
      <c r="P46">
        <f>SUM(C46:O46)</f>
        <v>301</v>
      </c>
    </row>
    <row r="47" spans="1:16" x14ac:dyDescent="0.2">
      <c r="A47" t="s">
        <v>67</v>
      </c>
      <c r="C47">
        <f>SUM('Ablesewerte Wasser'!D48-'Ablesewerte Wasser'!C48)</f>
        <v>6</v>
      </c>
      <c r="D47">
        <f>SUM('Ablesewerte Wasser'!E48-'Ablesewerte Wasser'!D48)</f>
        <v>6</v>
      </c>
      <c r="E47">
        <f>SUM('Ablesewerte Wasser'!F48-'Ablesewerte Wasser'!E48)</f>
        <v>7</v>
      </c>
      <c r="F47">
        <f>SUM('Ablesewerte Wasser'!G48-'Ablesewerte Wasser'!F48)</f>
        <v>5</v>
      </c>
      <c r="G47">
        <f>SUM('Ablesewerte Wasser'!H48-'Ablesewerte Wasser'!G48)</f>
        <v>4</v>
      </c>
      <c r="H47">
        <f>SUM('Ablesewerte Wasser'!I48-'Ablesewerte Wasser'!H48)</f>
        <v>6</v>
      </c>
      <c r="I47">
        <f>SUM('Ablesewerte Wasser'!J48-'Ablesewerte Wasser'!I48)</f>
        <v>6</v>
      </c>
      <c r="J47">
        <f>SUM('Ablesewerte Wasser'!K48-'Ablesewerte Wasser'!J48)</f>
        <v>7</v>
      </c>
      <c r="K47">
        <f>SUM('Ablesewerte Wasser'!L48-'Ablesewerte Wasser'!K48)</f>
        <v>3</v>
      </c>
      <c r="L47">
        <f>SUM('Ablesewerte Wasser'!M48-'Ablesewerte Wasser'!L48)</f>
        <v>14</v>
      </c>
      <c r="M47">
        <f>SUM('Ablesewerte Wasser'!N48-'Ablesewerte Wasser'!M48)</f>
        <v>5</v>
      </c>
      <c r="N47">
        <f>SUM('Ablesewerte Wasser'!O48-'Ablesewerte Wasser'!N48)</f>
        <v>3</v>
      </c>
      <c r="P47">
        <f>SUM(C47:O47)</f>
        <v>72</v>
      </c>
    </row>
    <row r="48" spans="1:16" x14ac:dyDescent="0.2">
      <c r="A48" t="s">
        <v>3</v>
      </c>
      <c r="C48">
        <f>SUM('Ablesewerte Wasser'!D49-'Ablesewerte Wasser'!C49)</f>
        <v>34</v>
      </c>
      <c r="D48">
        <f>SUM('Ablesewerte Wasser'!E49-'Ablesewerte Wasser'!D49)</f>
        <v>27</v>
      </c>
      <c r="E48">
        <f>SUM('Ablesewerte Wasser'!F49-'Ablesewerte Wasser'!E49)</f>
        <v>33</v>
      </c>
      <c r="F48">
        <f>SUM('Ablesewerte Wasser'!G49-'Ablesewerte Wasser'!F49)</f>
        <v>28</v>
      </c>
      <c r="G48">
        <f>SUM('Ablesewerte Wasser'!H49-'Ablesewerte Wasser'!G49)</f>
        <v>17</v>
      </c>
      <c r="H48">
        <f>SUM('Ablesewerte Wasser'!I49-'Ablesewerte Wasser'!H49)</f>
        <v>31</v>
      </c>
      <c r="I48">
        <f>SUM('Ablesewerte Wasser'!J49-'Ablesewerte Wasser'!I49)</f>
        <v>19</v>
      </c>
      <c r="J48">
        <f>SUM('Ablesewerte Wasser'!K49-'Ablesewerte Wasser'!J49)</f>
        <v>12</v>
      </c>
      <c r="K48">
        <f>SUM('Ablesewerte Wasser'!L49-'Ablesewerte Wasser'!K49)</f>
        <v>32</v>
      </c>
      <c r="L48">
        <f>SUM('Ablesewerte Wasser'!M49-'Ablesewerte Wasser'!L49)</f>
        <v>16</v>
      </c>
      <c r="M48">
        <f>SUM('Ablesewerte Wasser'!N49-'Ablesewerte Wasser'!M49)</f>
        <v>13</v>
      </c>
      <c r="N48">
        <f>SUM('Ablesewerte Wasser'!O49-'Ablesewerte Wasser'!N49)</f>
        <v>13</v>
      </c>
      <c r="P48">
        <f>SUM(C48:O48)</f>
        <v>275</v>
      </c>
    </row>
    <row r="52" spans="1:16" ht="15.75" x14ac:dyDescent="0.25">
      <c r="A52" s="1">
        <v>2011</v>
      </c>
      <c r="B52" t="s">
        <v>69</v>
      </c>
      <c r="C52" s="6" t="s">
        <v>6</v>
      </c>
      <c r="D52" s="6" t="s">
        <v>7</v>
      </c>
      <c r="E52" s="6" t="s">
        <v>8</v>
      </c>
      <c r="F52" s="6" t="s">
        <v>9</v>
      </c>
      <c r="G52" s="6" t="s">
        <v>10</v>
      </c>
      <c r="H52" s="6" t="s">
        <v>11</v>
      </c>
      <c r="I52" s="6" t="s">
        <v>12</v>
      </c>
      <c r="J52" s="6" t="s">
        <v>13</v>
      </c>
      <c r="K52" s="6" t="s">
        <v>14</v>
      </c>
      <c r="L52" s="6" t="s">
        <v>15</v>
      </c>
      <c r="M52" s="6" t="s">
        <v>16</v>
      </c>
      <c r="N52" s="6" t="s">
        <v>17</v>
      </c>
    </row>
    <row r="54" spans="1:16" x14ac:dyDescent="0.2">
      <c r="A54" t="s">
        <v>65</v>
      </c>
      <c r="C54">
        <f>SUM('Ablesewerte Wasser'!D56-'Ablesewerte Wasser'!C56)</f>
        <v>264</v>
      </c>
      <c r="D54">
        <f>SUM('Ablesewerte Wasser'!E56-'Ablesewerte Wasser'!D56)</f>
        <v>282</v>
      </c>
      <c r="E54">
        <f>SUM('Ablesewerte Wasser'!F56-'Ablesewerte Wasser'!E56)</f>
        <v>280</v>
      </c>
      <c r="F54">
        <f>SUM('Ablesewerte Wasser'!G56-'Ablesewerte Wasser'!F56)</f>
        <v>264</v>
      </c>
      <c r="G54">
        <f>SUM('Ablesewerte Wasser'!H56-'Ablesewerte Wasser'!G56)</f>
        <v>447</v>
      </c>
      <c r="H54">
        <f>SUM('Ablesewerte Wasser'!I56-'Ablesewerte Wasser'!H56)</f>
        <v>184</v>
      </c>
      <c r="I54">
        <f>SUM('Ablesewerte Wasser'!J56-'Ablesewerte Wasser'!I56)</f>
        <v>268</v>
      </c>
      <c r="J54">
        <f>SUM('Ablesewerte Wasser'!K56-'Ablesewerte Wasser'!J56)</f>
        <v>127</v>
      </c>
      <c r="K54">
        <f>SUM('Ablesewerte Wasser'!L56-'Ablesewerte Wasser'!K56)</f>
        <v>322</v>
      </c>
      <c r="L54">
        <f>SUM('Ablesewerte Wasser'!M56-'Ablesewerte Wasser'!L56)</f>
        <v>331</v>
      </c>
      <c r="M54">
        <f>SUM('Ablesewerte Wasser'!N56-'Ablesewerte Wasser'!M56)</f>
        <v>269</v>
      </c>
      <c r="N54">
        <f>SUM('Ablesewerte Wasser'!O56-'Ablesewerte Wasser'!N56)</f>
        <v>210</v>
      </c>
      <c r="P54">
        <f>SUM(C54:O54)</f>
        <v>3248</v>
      </c>
    </row>
    <row r="55" spans="1:16" x14ac:dyDescent="0.2">
      <c r="A55" t="s">
        <v>66</v>
      </c>
      <c r="C55">
        <f>SUM('Ablesewerte Wasser'!D57-'Ablesewerte Wasser'!C57)</f>
        <v>28</v>
      </c>
      <c r="D55">
        <f>SUM('Ablesewerte Wasser'!E57-'Ablesewerte Wasser'!D57)</f>
        <v>25</v>
      </c>
      <c r="E55">
        <f>SUM('Ablesewerte Wasser'!F57-'Ablesewerte Wasser'!E57)</f>
        <v>33</v>
      </c>
      <c r="F55">
        <f>SUM('Ablesewerte Wasser'!G57-'Ablesewerte Wasser'!F57)</f>
        <v>102</v>
      </c>
      <c r="G55">
        <f>SUM('Ablesewerte Wasser'!H57-'Ablesewerte Wasser'!G57)</f>
        <v>30</v>
      </c>
      <c r="H55">
        <f>SUM('Ablesewerte Wasser'!I57-'Ablesewerte Wasser'!H57)</f>
        <v>11</v>
      </c>
      <c r="I55">
        <f>SUM('Ablesewerte Wasser'!J57-'Ablesewerte Wasser'!I57)</f>
        <v>15</v>
      </c>
      <c r="J55">
        <f>SUM('Ablesewerte Wasser'!K57-'Ablesewerte Wasser'!J57)</f>
        <v>3</v>
      </c>
      <c r="K55">
        <f>SUM('Ablesewerte Wasser'!L57-'Ablesewerte Wasser'!K57)</f>
        <v>13</v>
      </c>
      <c r="L55">
        <f>SUM('Ablesewerte Wasser'!M57-'Ablesewerte Wasser'!L57)</f>
        <v>22</v>
      </c>
      <c r="M55">
        <f>SUM('Ablesewerte Wasser'!N57-'Ablesewerte Wasser'!M57)</f>
        <v>27</v>
      </c>
      <c r="N55">
        <f>SUM('Ablesewerte Wasser'!O57-'Ablesewerte Wasser'!N57)</f>
        <v>19</v>
      </c>
      <c r="P55">
        <f>SUM(C55:O55)</f>
        <v>328</v>
      </c>
    </row>
    <row r="56" spans="1:16" x14ac:dyDescent="0.2">
      <c r="A56" t="s">
        <v>67</v>
      </c>
      <c r="C56">
        <f>SUM('Ablesewerte Wasser'!D58-'Ablesewerte Wasser'!C58)</f>
        <v>-487</v>
      </c>
      <c r="D56">
        <f>SUM('Ablesewerte Wasser'!E58-'Ablesewerte Wasser'!D58)</f>
        <v>5</v>
      </c>
      <c r="E56">
        <f>SUM('Ablesewerte Wasser'!F58-'Ablesewerte Wasser'!E58)</f>
        <v>9</v>
      </c>
      <c r="F56">
        <f>SUM('Ablesewerte Wasser'!G58-'Ablesewerte Wasser'!F58)</f>
        <v>5</v>
      </c>
      <c r="G56">
        <f>SUM('Ablesewerte Wasser'!H58-'Ablesewerte Wasser'!G58)</f>
        <v>6</v>
      </c>
      <c r="H56">
        <f>SUM('Ablesewerte Wasser'!I58-'Ablesewerte Wasser'!H58)</f>
        <v>4</v>
      </c>
      <c r="I56">
        <f>SUM('Ablesewerte Wasser'!J58-'Ablesewerte Wasser'!I58)</f>
        <v>5</v>
      </c>
      <c r="J56">
        <f>SUM('Ablesewerte Wasser'!K58-'Ablesewerte Wasser'!J58)</f>
        <v>7</v>
      </c>
      <c r="K56">
        <f>SUM('Ablesewerte Wasser'!L58-'Ablesewerte Wasser'!K58)</f>
        <v>5</v>
      </c>
      <c r="L56">
        <f>SUM('Ablesewerte Wasser'!M58-'Ablesewerte Wasser'!L58)</f>
        <v>8</v>
      </c>
      <c r="M56">
        <f>SUM('Ablesewerte Wasser'!N58-'Ablesewerte Wasser'!M58)</f>
        <v>5</v>
      </c>
      <c r="N56">
        <f>SUM('Ablesewerte Wasser'!O58-'Ablesewerte Wasser'!N58)</f>
        <v>5</v>
      </c>
      <c r="P56">
        <f>SUM(C56:O56)</f>
        <v>-423</v>
      </c>
    </row>
    <row r="57" spans="1:16" x14ac:dyDescent="0.2">
      <c r="A57" t="s">
        <v>3</v>
      </c>
      <c r="C57">
        <f>SUM('Ablesewerte Wasser'!D59-'Ablesewerte Wasser'!C59)</f>
        <v>15</v>
      </c>
      <c r="D57">
        <f>SUM('Ablesewerte Wasser'!E59-'Ablesewerte Wasser'!D59)</f>
        <v>13</v>
      </c>
      <c r="E57">
        <f>SUM('Ablesewerte Wasser'!F59-'Ablesewerte Wasser'!E59)</f>
        <v>13</v>
      </c>
      <c r="F57">
        <f>SUM('Ablesewerte Wasser'!G59-'Ablesewerte Wasser'!F59)</f>
        <v>14</v>
      </c>
      <c r="G57">
        <f>SUM('Ablesewerte Wasser'!H59-'Ablesewerte Wasser'!G59)</f>
        <v>15</v>
      </c>
      <c r="H57">
        <f>SUM('Ablesewerte Wasser'!I59-'Ablesewerte Wasser'!H59)</f>
        <v>10</v>
      </c>
      <c r="I57">
        <f>SUM('Ablesewerte Wasser'!J59-'Ablesewerte Wasser'!I59)</f>
        <v>16</v>
      </c>
      <c r="J57">
        <f>SUM('Ablesewerte Wasser'!K59-'Ablesewerte Wasser'!J59)</f>
        <v>9</v>
      </c>
      <c r="K57">
        <f>SUM('Ablesewerte Wasser'!L59-'Ablesewerte Wasser'!K59)</f>
        <v>14</v>
      </c>
      <c r="L57">
        <f>SUM('Ablesewerte Wasser'!M59-'Ablesewerte Wasser'!L59)</f>
        <v>16</v>
      </c>
      <c r="M57">
        <f>SUM('Ablesewerte Wasser'!N59-'Ablesewerte Wasser'!M59)</f>
        <v>20</v>
      </c>
      <c r="N57">
        <f>SUM('Ablesewerte Wasser'!O59-'Ablesewerte Wasser'!N59)</f>
        <v>19</v>
      </c>
      <c r="P57">
        <f>SUM(C57:O57)</f>
        <v>174</v>
      </c>
    </row>
    <row r="61" spans="1:16" ht="15.75" x14ac:dyDescent="0.25">
      <c r="A61" s="1">
        <v>2012</v>
      </c>
      <c r="B61" t="s">
        <v>69</v>
      </c>
      <c r="C61" s="6" t="s">
        <v>6</v>
      </c>
      <c r="D61" s="6" t="s">
        <v>7</v>
      </c>
      <c r="E61" s="6" t="s">
        <v>8</v>
      </c>
      <c r="F61" s="6" t="s">
        <v>9</v>
      </c>
      <c r="G61" s="6" t="s">
        <v>10</v>
      </c>
      <c r="H61" s="6" t="s">
        <v>11</v>
      </c>
      <c r="I61" s="6" t="s">
        <v>12</v>
      </c>
      <c r="J61" s="6" t="s">
        <v>13</v>
      </c>
      <c r="K61" s="6" t="s">
        <v>14</v>
      </c>
      <c r="L61" s="6" t="s">
        <v>15</v>
      </c>
      <c r="M61" s="6" t="s">
        <v>16</v>
      </c>
      <c r="N61" s="6" t="s">
        <v>17</v>
      </c>
    </row>
    <row r="63" spans="1:16" x14ac:dyDescent="0.2">
      <c r="A63" t="s">
        <v>65</v>
      </c>
      <c r="C63">
        <f>SUM('Ablesewerte Wasser'!D67-'Ablesewerte Wasser'!C67)</f>
        <v>250</v>
      </c>
      <c r="D63">
        <f>SUM('Ablesewerte Wasser'!E67-'Ablesewerte Wasser'!D67)</f>
        <v>244</v>
      </c>
      <c r="E63">
        <f>SUM('Ablesewerte Wasser'!F67-'Ablesewerte Wasser'!E67)</f>
        <v>289</v>
      </c>
      <c r="F63">
        <f>SUM('Ablesewerte Wasser'!G67-'Ablesewerte Wasser'!F67)</f>
        <v>171</v>
      </c>
      <c r="G63">
        <f>SUM('Ablesewerte Wasser'!H67-'Ablesewerte Wasser'!G67)</f>
        <v>260</v>
      </c>
      <c r="H63">
        <f>SUM('Ablesewerte Wasser'!I67-'Ablesewerte Wasser'!H67)</f>
        <v>229</v>
      </c>
      <c r="I63">
        <f>SUM('Ablesewerte Wasser'!J67-'Ablesewerte Wasser'!I67)</f>
        <v>183</v>
      </c>
      <c r="J63">
        <f>SUM('Ablesewerte Wasser'!K67-'Ablesewerte Wasser'!J67)</f>
        <v>121</v>
      </c>
      <c r="K63">
        <f>SUM('Ablesewerte Wasser'!L67-'Ablesewerte Wasser'!K67)</f>
        <v>407</v>
      </c>
      <c r="L63">
        <f>SUM('Ablesewerte Wasser'!M67-'Ablesewerte Wasser'!L67)</f>
        <v>360</v>
      </c>
      <c r="M63">
        <f>SUM('Ablesewerte Wasser'!N67-'Ablesewerte Wasser'!M67)</f>
        <v>305</v>
      </c>
      <c r="N63">
        <f>SUM('Ablesewerte Wasser'!O67-'Ablesewerte Wasser'!N67)</f>
        <v>223</v>
      </c>
      <c r="P63">
        <f>SUM(C63:O63)</f>
        <v>3042</v>
      </c>
    </row>
    <row r="64" spans="1:16" x14ac:dyDescent="0.2">
      <c r="A64" t="s">
        <v>66</v>
      </c>
      <c r="C64">
        <f>SUM('Ablesewerte Wasser'!D68-'Ablesewerte Wasser'!C68)</f>
        <v>25</v>
      </c>
      <c r="D64">
        <f>SUM('Ablesewerte Wasser'!E68-'Ablesewerte Wasser'!D68)</f>
        <v>38</v>
      </c>
      <c r="E64">
        <f>SUM('Ablesewerte Wasser'!F68-'Ablesewerte Wasser'!E68)</f>
        <v>28</v>
      </c>
      <c r="F64">
        <f>SUM('Ablesewerte Wasser'!G68-'Ablesewerte Wasser'!F68)</f>
        <v>18</v>
      </c>
      <c r="G64">
        <f>SUM('Ablesewerte Wasser'!H68-'Ablesewerte Wasser'!G68)</f>
        <v>16</v>
      </c>
      <c r="H64">
        <f>SUM('Ablesewerte Wasser'!I68-'Ablesewerte Wasser'!H68)</f>
        <v>17</v>
      </c>
      <c r="I64">
        <f>SUM('Ablesewerte Wasser'!J68-'Ablesewerte Wasser'!I68)</f>
        <v>18</v>
      </c>
      <c r="J64">
        <f>SUM('Ablesewerte Wasser'!K68-'Ablesewerte Wasser'!J68)</f>
        <v>4</v>
      </c>
      <c r="K64">
        <f>SUM('Ablesewerte Wasser'!L68-'Ablesewerte Wasser'!K68)</f>
        <v>23</v>
      </c>
      <c r="L64">
        <f>SUM('Ablesewerte Wasser'!M68-'Ablesewerte Wasser'!L68)</f>
        <v>71</v>
      </c>
      <c r="M64">
        <f>SUM('Ablesewerte Wasser'!N68-'Ablesewerte Wasser'!M68)</f>
        <v>31</v>
      </c>
      <c r="N64">
        <f>SUM('Ablesewerte Wasser'!O68-'Ablesewerte Wasser'!N68)</f>
        <v>23</v>
      </c>
      <c r="P64">
        <f>SUM(C64:O64)</f>
        <v>312</v>
      </c>
    </row>
    <row r="65" spans="1:16" x14ac:dyDescent="0.2">
      <c r="A65" t="s">
        <v>67</v>
      </c>
      <c r="C65">
        <f>SUM('Ablesewerte Wasser'!D69-'Ablesewerte Wasser'!C69)</f>
        <v>8</v>
      </c>
      <c r="D65">
        <f>SUM('Ablesewerte Wasser'!E69-'Ablesewerte Wasser'!D69)</f>
        <v>6</v>
      </c>
      <c r="E65">
        <f>SUM('Ablesewerte Wasser'!F69-'Ablesewerte Wasser'!E69)</f>
        <v>6</v>
      </c>
      <c r="F65">
        <f>SUM('Ablesewerte Wasser'!G69-'Ablesewerte Wasser'!F69)</f>
        <v>5</v>
      </c>
      <c r="G65">
        <f>SUM('Ablesewerte Wasser'!H69-'Ablesewerte Wasser'!G69)</f>
        <v>7</v>
      </c>
      <c r="H65">
        <f>SUM('Ablesewerte Wasser'!I69-'Ablesewerte Wasser'!H69)</f>
        <v>5</v>
      </c>
      <c r="I65">
        <f>SUM('Ablesewerte Wasser'!J69-'Ablesewerte Wasser'!I69)</f>
        <v>4</v>
      </c>
      <c r="J65">
        <f>SUM('Ablesewerte Wasser'!K69-'Ablesewerte Wasser'!J69)</f>
        <v>5</v>
      </c>
      <c r="K65">
        <f>SUM('Ablesewerte Wasser'!L69-'Ablesewerte Wasser'!K69)</f>
        <v>6</v>
      </c>
      <c r="L65">
        <f>SUM('Ablesewerte Wasser'!M69-'Ablesewerte Wasser'!L69)</f>
        <v>7</v>
      </c>
      <c r="M65">
        <f>SUM('Ablesewerte Wasser'!N69-'Ablesewerte Wasser'!M69)</f>
        <v>5</v>
      </c>
      <c r="N65">
        <f>SUM('Ablesewerte Wasser'!O69-'Ablesewerte Wasser'!N69)</f>
        <v>4</v>
      </c>
      <c r="P65">
        <f>SUM(C65:O65)</f>
        <v>68</v>
      </c>
    </row>
    <row r="66" spans="1:16" x14ac:dyDescent="0.2">
      <c r="A66" t="s">
        <v>3</v>
      </c>
      <c r="C66">
        <f>SUM('Ablesewerte Wasser'!D70-'Ablesewerte Wasser'!C70)</f>
        <v>23</v>
      </c>
      <c r="D66">
        <f>SUM('Ablesewerte Wasser'!E70-'Ablesewerte Wasser'!D70)</f>
        <v>18</v>
      </c>
      <c r="E66">
        <f>SUM('Ablesewerte Wasser'!F70-'Ablesewerte Wasser'!E70)</f>
        <v>24</v>
      </c>
      <c r="F66">
        <f>SUM('Ablesewerte Wasser'!G70-'Ablesewerte Wasser'!F70)</f>
        <v>21</v>
      </c>
      <c r="G66">
        <f>SUM('Ablesewerte Wasser'!H70-'Ablesewerte Wasser'!G70)</f>
        <v>21</v>
      </c>
      <c r="H66">
        <f>SUM('Ablesewerte Wasser'!I70-'Ablesewerte Wasser'!H70)</f>
        <v>15</v>
      </c>
      <c r="I66">
        <f>SUM('Ablesewerte Wasser'!J70-'Ablesewerte Wasser'!I70)</f>
        <v>12</v>
      </c>
      <c r="J66">
        <f>SUM('Ablesewerte Wasser'!K70-'Ablesewerte Wasser'!J70)</f>
        <v>16</v>
      </c>
      <c r="K66">
        <f>SUM('Ablesewerte Wasser'!L70-'Ablesewerte Wasser'!K70)</f>
        <v>15</v>
      </c>
      <c r="L66">
        <f>SUM('Ablesewerte Wasser'!M70-'Ablesewerte Wasser'!L70)</f>
        <v>18</v>
      </c>
      <c r="M66">
        <f>SUM('Ablesewerte Wasser'!N70-'Ablesewerte Wasser'!M70)</f>
        <v>13</v>
      </c>
      <c r="N66">
        <f>SUM('Ablesewerte Wasser'!O70-'Ablesewerte Wasser'!N70)</f>
        <v>17</v>
      </c>
      <c r="P66">
        <f>SUM(C66:O66)</f>
        <v>213</v>
      </c>
    </row>
  </sheetData>
  <phoneticPr fontId="3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Diagramme</vt:lpstr>
      </vt:variant>
      <vt:variant>
        <vt:i4>5</vt:i4>
      </vt:variant>
    </vt:vector>
  </HeadingPairs>
  <TitlesOfParts>
    <vt:vector size="11" baseType="lpstr">
      <vt:lpstr>Ablesewerte Gas</vt:lpstr>
      <vt:lpstr>Verbrauch Gas</vt:lpstr>
      <vt:lpstr>Ablesewerte Strom</vt:lpstr>
      <vt:lpstr>Verbrauch Strom</vt:lpstr>
      <vt:lpstr>Ablesewerte Wasser</vt:lpstr>
      <vt:lpstr>Verbrauch Wasser</vt:lpstr>
      <vt:lpstr>Gas Hauptzähler</vt:lpstr>
      <vt:lpstr>Gas Zähler L13</vt:lpstr>
      <vt:lpstr>Diagramm Strom</vt:lpstr>
      <vt:lpstr>Strom Sporthalle</vt:lpstr>
      <vt:lpstr>Diagramm Wasser</vt:lpstr>
    </vt:vector>
  </TitlesOfParts>
  <Company>ZOM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Fred-Jürgen Bulach</dc:creator>
  <cp:lastModifiedBy>Gáspár Baló</cp:lastModifiedBy>
  <cp:lastPrinted>2011-03-04T08:51:29Z</cp:lastPrinted>
  <dcterms:created xsi:type="dcterms:W3CDTF">2007-01-10T07:34:24Z</dcterms:created>
  <dcterms:modified xsi:type="dcterms:W3CDTF">2026-03-17T10:12:02Z</dcterms:modified>
</cp:coreProperties>
</file>