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99"/>
  <workbookPr defaultThemeVersion="124226"/>
  <mc:AlternateContent xmlns:mc="http://schemas.openxmlformats.org/markup-compatibility/2006">
    <mc:Choice Requires="x15">
      <x15ac:absPath xmlns:x15ac="http://schemas.microsoft.com/office/spreadsheetml/2010/11/ac" url="N:\BHKW\"/>
    </mc:Choice>
  </mc:AlternateContent>
  <xr:revisionPtr revIDLastSave="0" documentId="13_ncr:1_{573AAE0D-9378-4F75-A211-9969CDF0FE12}" xr6:coauthVersionLast="36" xr6:coauthVersionMax="36" xr10:uidLastSave="{00000000-0000-0000-0000-000000000000}"/>
  <bookViews>
    <workbookView xWindow="0" yWindow="0" windowWidth="28800" windowHeight="13725" activeTab="1" xr2:uid="{00000000-000D-0000-FFFF-FFFF00000000}"/>
  </bookViews>
  <sheets>
    <sheet name="Anlagendaten" sheetId="2" r:id="rId1"/>
    <sheet name="Verbrauchsdaten" sheetId="1" r:id="rId2"/>
    <sheet name="Unterlagenübersicht" sheetId="3" r:id="rId3"/>
  </sheets>
  <calcPr calcId="191029"/>
</workbook>
</file>

<file path=xl/calcChain.xml><?xml version="1.0" encoding="utf-8"?>
<calcChain xmlns="http://schemas.openxmlformats.org/spreadsheetml/2006/main">
  <c r="B38" i="1" l="1"/>
  <c r="B39" i="1"/>
  <c r="B40" i="1"/>
  <c r="B41" i="1"/>
  <c r="B42" i="1"/>
  <c r="B43" i="1"/>
  <c r="B44" i="1"/>
  <c r="B45" i="1"/>
  <c r="B46" i="1"/>
  <c r="B47" i="1"/>
  <c r="B48" i="1"/>
  <c r="B49" i="1"/>
  <c r="B50" i="1"/>
  <c r="B51" i="1"/>
  <c r="B4" i="1" l="1"/>
  <c r="C6" i="3" s="1"/>
  <c r="B7" i="1"/>
  <c r="C7" i="3" s="1"/>
  <c r="B2" i="1"/>
  <c r="C5" i="3" s="1"/>
  <c r="A15" i="2"/>
</calcChain>
</file>

<file path=xl/sharedStrings.xml><?xml version="1.0" encoding="utf-8"?>
<sst xmlns="http://schemas.openxmlformats.org/spreadsheetml/2006/main" count="184" uniqueCount="123">
  <si>
    <t>BHKW Daten</t>
  </si>
  <si>
    <t>Zeit</t>
  </si>
  <si>
    <t>BHKW</t>
  </si>
  <si>
    <t>Betriebstunden</t>
  </si>
  <si>
    <t>Stunden</t>
  </si>
  <si>
    <t>Zählerstand</t>
  </si>
  <si>
    <t>Erdgas</t>
  </si>
  <si>
    <t>m³</t>
  </si>
  <si>
    <t>erzeugter Strom</t>
  </si>
  <si>
    <t>kWh</t>
  </si>
  <si>
    <t>Starts</t>
  </si>
  <si>
    <t>Strom</t>
  </si>
  <si>
    <t>€ (brutto)</t>
  </si>
  <si>
    <t>Kunde:</t>
  </si>
  <si>
    <t>Anlage:</t>
  </si>
  <si>
    <t>BHKW Type:</t>
  </si>
  <si>
    <t>Investition</t>
  </si>
  <si>
    <t>Zinssatz:</t>
  </si>
  <si>
    <t>interne Betriebskosten</t>
  </si>
  <si>
    <t>gesamt</t>
  </si>
  <si>
    <t>Anlagenbetreiber:</t>
  </si>
  <si>
    <t>Allgmeine Daten</t>
  </si>
  <si>
    <t>elkt. Leistung</t>
  </si>
  <si>
    <t>therm. Leistung</t>
  </si>
  <si>
    <t>Leistungsbezug</t>
  </si>
  <si>
    <t>Tag der Inbetriebnahme</t>
  </si>
  <si>
    <t>Wartungskosten (brutto)</t>
  </si>
  <si>
    <t xml:space="preserve">Vergütung </t>
  </si>
  <si>
    <t>o. KWK-Bonus</t>
  </si>
  <si>
    <t>Unterlagen</t>
  </si>
  <si>
    <t xml:space="preserve">1.1 Überprüfung des BHKW Konzepts auf Basis der vom Kunden übermittelten </t>
  </si>
  <si>
    <t>Anlagenschema mit Puffer, Kessel und Heizkreiseinbindung sowie allen einzubauenden Zählern</t>
  </si>
  <si>
    <t>Regelungsschema</t>
  </si>
  <si>
    <t xml:space="preserve">technische Datenblätter der Komponenten </t>
  </si>
  <si>
    <t>Grundlagen für die Konzeption: Verbrauchsdaten, Geordnete Jahresdauerlinie Wärme</t>
  </si>
  <si>
    <t xml:space="preserve">1.2 Überprüfung des Wartungsvertrages </t>
  </si>
  <si>
    <t>Wartungsvertragsentwurf</t>
  </si>
  <si>
    <t>2.1 Optimierung und Überwachung des Betriebs</t>
  </si>
  <si>
    <t>ausgefüllte Exceldatei mit monatlichen Zählerständen</t>
  </si>
  <si>
    <t>Informationen über Veränderungen bei Nutzung, Einkauf  und Struktur</t>
  </si>
  <si>
    <t>2.2 Überprüfung der Wartungskosten</t>
  </si>
  <si>
    <t>Wartungsrechnungen</t>
  </si>
  <si>
    <t>Informationen über besondere Vorkommnisse</t>
  </si>
  <si>
    <t>2.3 Vorbereitung der jährlichen Anträge und Mitteilung</t>
  </si>
  <si>
    <t>erhalten am:</t>
  </si>
  <si>
    <t>2.4 Wirtschaftlichkeits- und Energiebericht</t>
  </si>
  <si>
    <t>Investitions- und Betriebskosten</t>
  </si>
  <si>
    <t>Energie- und Wartungsrechnungen</t>
  </si>
  <si>
    <t>BHKW:</t>
  </si>
  <si>
    <t>Höhe Anlagenstandort</t>
  </si>
  <si>
    <t>Meter über Meer</t>
  </si>
  <si>
    <t>Fließdruck BHKW-Gaszähler</t>
  </si>
  <si>
    <t>mbar</t>
  </si>
  <si>
    <t>Anzahl</t>
  </si>
  <si>
    <t>Erdgasbezugs-</t>
  </si>
  <si>
    <t>kosten</t>
  </si>
  <si>
    <t>Bezug</t>
  </si>
  <si>
    <t>erhaltener</t>
  </si>
  <si>
    <t>kWK-Bonus</t>
  </si>
  <si>
    <t>erwartete Betriebsstunden</t>
  </si>
  <si>
    <t>kW</t>
  </si>
  <si>
    <t>kW (Hu)</t>
  </si>
  <si>
    <t>Ansprechpartner</t>
  </si>
  <si>
    <t>(Vertrag)</t>
  </si>
  <si>
    <t>(Technik)</t>
  </si>
  <si>
    <t>Abrechnung KWK-Bonus</t>
  </si>
  <si>
    <t>Lageplan Standort</t>
  </si>
  <si>
    <t>Beschreibung der Regelungsabläufe (1)</t>
  </si>
  <si>
    <t>abgeschlossener Wartungsvertrag</t>
  </si>
  <si>
    <t>Beschreibung der geplanten Fahrweise (2)</t>
  </si>
  <si>
    <t>Abrechnung eingspeister Strom</t>
  </si>
  <si>
    <t>Abrechnung Messung für BHKW</t>
  </si>
  <si>
    <t>Abrechnungen Strombezug</t>
  </si>
  <si>
    <t>Abrechnungen Erdgasbezug</t>
  </si>
  <si>
    <t>Inbetriebnahme-Protokoll</t>
  </si>
  <si>
    <t>Zulassungsbestätigung der BAFA</t>
  </si>
  <si>
    <t>1. Beschreibung der Regelungsabläufe mit folgendem Inhalt: Wo sind die Fühler (mit Bezeichnung) eingebaut, was wird gemessen, bei welchen Temperaturen erfolgen welche Regeleingriffe bzw. Schaltungen, wie sind die Heizkessel in die Regelung eingebunden, welche sonstige Parameter wirken auf die Regelung ein z.B. Zeit, Stromspitzen...</t>
  </si>
  <si>
    <t>2. Beschreibung der geplanten Fahrweise mit folgendem Inhalt: Welche Priorität haben die einzelen Wärmeerzeuger, welche saisionale Regelstrategien sind geplant, wie wird der erzeugte Strom verwendet…</t>
  </si>
  <si>
    <t>ausgespeister Strom</t>
  </si>
  <si>
    <t>erzeugte Wärme</t>
  </si>
  <si>
    <t>Kosten</t>
  </si>
  <si>
    <t>Zusätzliche Brennstoffe für Wärmeerzeugung</t>
  </si>
  <si>
    <t>€</t>
  </si>
  <si>
    <t>kWh/MWh</t>
  </si>
  <si>
    <t xml:space="preserve">Bezug </t>
  </si>
  <si>
    <t>Hinweise:</t>
  </si>
  <si>
    <t>Die kursiv geschriebenen Werte bitte nach der jeweiligen Abrechnung eintragen</t>
  </si>
  <si>
    <t>Rechnung</t>
  </si>
  <si>
    <t>Erdgas(gesamt)</t>
  </si>
  <si>
    <t>Strom (gesamt)</t>
  </si>
  <si>
    <t>Die Ablesung sollte möglichst nah um den 1. jedes Manates erfolgen - je nach Wochentag sind die Tage davor oder danach auch möglich. Bitte ggf. Datum berichtigen</t>
  </si>
  <si>
    <t>Aus Abrechnung (Netzbetreiber)</t>
  </si>
  <si>
    <t>Zählerfaktor:</t>
  </si>
  <si>
    <t>Aus Stromrechnung vom Stromlieferant</t>
  </si>
  <si>
    <t>Falls die Zähler abgelesen werden können bitte monatlich eintragen</t>
  </si>
  <si>
    <t>Sind Zähler nicht vorhanden bzw nicht auslesbar - bitte als Hinweis kurz eintragen - danch kann die Spalte ausgeblendet werden bitte nicht löschen</t>
  </si>
  <si>
    <t>*Zählerstand</t>
  </si>
  <si>
    <t>*Zählerstände bitte wenn möglich monatlich auslesen - diese Stände dienen der Kontrolle der Energierechnungen bzw. besseren Beurteilung der Struktur da z.B. der ausgespeiste Strom i.d.R. nur jährlich abgerechnet wird</t>
  </si>
  <si>
    <t>(2.8.2)</t>
  </si>
  <si>
    <t>Bezug (1.8.1)</t>
  </si>
  <si>
    <t>Bezug (1.8.2)</t>
  </si>
  <si>
    <t>Die Ablesung sollte möglichst nah um den 1. jedes Manates erfolgen - je nach Wochentag sind die Tage davor oder danach auch recht.</t>
  </si>
  <si>
    <t>Hocheffizienznachweis</t>
  </si>
  <si>
    <t>bitte hier nur die jährlichen Rechnungen als PDF zusenden - Daten werden eingetragen</t>
  </si>
  <si>
    <t>€ brutto</t>
  </si>
  <si>
    <t>%</t>
  </si>
  <si>
    <t>Schlossweg 8</t>
  </si>
  <si>
    <t>74544 Michelbach/Bilz</t>
  </si>
  <si>
    <t>Herr Hans Hübner</t>
  </si>
  <si>
    <t>Hans.Huebner@schulstiftung.info</t>
  </si>
  <si>
    <t>Ludwigsburger Str. 34</t>
  </si>
  <si>
    <t>74343 Sachsenheim</t>
  </si>
  <si>
    <t xml:space="preserve">Kraftwerk Mephisto </t>
  </si>
  <si>
    <t>0176 2232 1125</t>
  </si>
  <si>
    <t>-</t>
  </si>
  <si>
    <t xml:space="preserve">Lichtenstern Gymnasium </t>
  </si>
  <si>
    <t>Schulstiftung der Evangelischen Landeskirche in Württemberg</t>
  </si>
  <si>
    <t>,</t>
  </si>
  <si>
    <t>01:03.2021</t>
  </si>
  <si>
    <t>1NZR 0721163921</t>
  </si>
  <si>
    <t>Sven Ehrenberg</t>
  </si>
  <si>
    <t>sven.ehrenberg@lichtenstern.info</t>
  </si>
  <si>
    <t>0791/93016-270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</si>
</sst>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0.00\ &quot;€&quot;;[Red]\-#,##0.00\ &quot;€&quot;"/>
    <numFmt numFmtId="44" formatCode="_-* #,##0.00\ &quot;€&quot;_-;\-* #,##0.00\ &quot;€&quot;_-;_-* &quot;-&quot;??\ &quot;€&quot;_-;_-@_-"/>
    <numFmt numFmtId="43" formatCode="_-* #,##0.00\ _€_-;\-* #,##0.00\ _€_-;_-* &quot;-&quot;??\ _€_-;_-@_-"/>
    <numFmt numFmtId="164" formatCode="#,##0.0"/>
    <numFmt numFmtId="165" formatCode="#,##0.00\ &quot;€&quot;"/>
    <numFmt numFmtId="166" formatCode="_-* #,##0\ _€_-;\-* #,##0\ _€_-;_-* &quot;-&quot;??\ _€_-;_-@_-"/>
  </numFmts>
  <fonts count="20" x14ac:knownFonts="1">
    <font>
      <sz val="10"/>
      <name val="Arial"/>
    </font>
    <font>
      <sz val="11"/>
      <color theme="1"/>
      <name val="Calibri"/>
      <family val="2"/>
      <scheme val="minor"/>
    </font>
    <font>
      <sz val="8"/>
      <name val="Arial"/>
      <family val="2"/>
    </font>
    <font>
      <b/>
      <sz val="12"/>
      <name val="Arial"/>
      <family val="2"/>
    </font>
    <font>
      <sz val="12"/>
      <name val="Arial"/>
      <family val="2"/>
    </font>
    <font>
      <b/>
      <sz val="10"/>
      <name val="Arial"/>
      <family val="2"/>
    </font>
    <font>
      <sz val="10"/>
      <name val="Arial"/>
      <family val="2"/>
    </font>
    <font>
      <i/>
      <sz val="10"/>
      <name val="Arial"/>
      <family val="2"/>
    </font>
    <font>
      <b/>
      <i/>
      <sz val="10"/>
      <color indexed="60"/>
      <name val="Arial"/>
      <family val="2"/>
    </font>
    <font>
      <b/>
      <sz val="10"/>
      <color indexed="60"/>
      <name val="Arial"/>
      <family val="2"/>
    </font>
    <font>
      <sz val="10"/>
      <color indexed="36"/>
      <name val="Arial"/>
      <family val="2"/>
    </font>
    <font>
      <b/>
      <i/>
      <sz val="10"/>
      <color indexed="36"/>
      <name val="Arial"/>
      <family val="2"/>
    </font>
    <font>
      <b/>
      <sz val="10"/>
      <color indexed="36"/>
      <name val="Arial"/>
      <family val="2"/>
    </font>
    <font>
      <b/>
      <i/>
      <sz val="10"/>
      <color theme="5" tint="-0.249977111117893"/>
      <name val="Arial"/>
      <family val="2"/>
    </font>
    <font>
      <b/>
      <i/>
      <sz val="10"/>
      <color theme="7" tint="-0.249977111117893"/>
      <name val="Arial"/>
      <family val="2"/>
    </font>
    <font>
      <u/>
      <sz val="10"/>
      <color theme="10"/>
      <name val="Arial"/>
      <family val="2"/>
    </font>
    <font>
      <sz val="10"/>
      <color rgb="FF00B050"/>
      <name val="Arial"/>
      <family val="2"/>
    </font>
    <font>
      <sz val="10"/>
      <name val="Arial"/>
      <family val="2"/>
    </font>
    <font>
      <sz val="11"/>
      <color rgb="FF000000"/>
      <name val="Calibri"/>
      <family val="2"/>
    </font>
    <font>
      <sz val="10"/>
      <color theme="3" tint="-0.249977111117893"/>
      <name val="Arial"/>
      <family val="2"/>
    </font>
  </fonts>
  <fills count="14">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indexed="31"/>
        <bgColor indexed="64"/>
      </patternFill>
    </fill>
    <fill>
      <patternFill patternType="solid">
        <fgColor indexed="44"/>
        <bgColor indexed="64"/>
      </patternFill>
    </fill>
    <fill>
      <patternFill patternType="solid">
        <fgColor indexed="47"/>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66"/>
        <bgColor indexed="64"/>
      </patternFill>
    </fill>
    <fill>
      <patternFill patternType="solid">
        <fgColor rgb="FFFFFFFF"/>
        <bgColor rgb="FF000000"/>
      </patternFill>
    </fill>
    <fill>
      <patternFill patternType="solid">
        <fgColor rgb="FF99FF99"/>
        <bgColor indexed="64"/>
      </patternFill>
    </fill>
    <fill>
      <patternFill patternType="solid">
        <fgColor theme="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top style="medium">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thick">
        <color indexed="64"/>
      </bottom>
      <diagonal/>
    </border>
    <border>
      <left style="thin">
        <color indexed="64"/>
      </left>
      <right style="thin">
        <color indexed="64"/>
      </right>
      <top style="thin">
        <color indexed="64"/>
      </top>
      <bottom/>
      <diagonal/>
    </border>
  </borders>
  <cellStyleXfs count="19">
    <xf numFmtId="0" fontId="0" fillId="0" borderId="0"/>
    <xf numFmtId="0" fontId="15" fillId="0" borderId="0" applyNumberFormat="0" applyFill="0" applyBorder="0" applyAlignment="0" applyProtection="0"/>
    <xf numFmtId="44" fontId="17" fillId="0" borderId="0" applyFont="0" applyFill="0" applyBorder="0" applyAlignment="0" applyProtection="0"/>
    <xf numFmtId="43" fontId="17" fillId="0" borderId="0" applyFont="0" applyFill="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44"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0" fontId="15" fillId="0" borderId="0" applyNumberForma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6" fillId="0" borderId="0"/>
    <xf numFmtId="43" fontId="6" fillId="0" borderId="0" applyFont="0" applyFill="0" applyBorder="0" applyAlignment="0" applyProtection="0"/>
  </cellStyleXfs>
  <cellXfs count="180">
    <xf numFmtId="0" fontId="0" fillId="0" borderId="0" xfId="0"/>
    <xf numFmtId="14" fontId="0" fillId="0" borderId="0" xfId="0" applyNumberFormat="1"/>
    <xf numFmtId="0" fontId="3" fillId="0" borderId="0" xfId="0" applyFont="1"/>
    <xf numFmtId="0" fontId="4" fillId="0" borderId="0" xfId="0" applyFont="1"/>
    <xf numFmtId="0" fontId="0" fillId="0" borderId="1" xfId="0" applyBorder="1"/>
    <xf numFmtId="0" fontId="5" fillId="0" borderId="0" xfId="0" applyFont="1"/>
    <xf numFmtId="0" fontId="0" fillId="0" borderId="2" xfId="0" applyBorder="1"/>
    <xf numFmtId="0" fontId="6" fillId="0" borderId="3" xfId="0" applyFont="1" applyBorder="1"/>
    <xf numFmtId="0" fontId="0" fillId="0" borderId="0" xfId="0" applyBorder="1"/>
    <xf numFmtId="0" fontId="6" fillId="0" borderId="4" xfId="0" applyFont="1" applyBorder="1"/>
    <xf numFmtId="0" fontId="0" fillId="0" borderId="5" xfId="0" applyBorder="1"/>
    <xf numFmtId="0" fontId="0" fillId="0" borderId="3" xfId="0" applyBorder="1"/>
    <xf numFmtId="0" fontId="0" fillId="0" borderId="6" xfId="0" applyBorder="1"/>
    <xf numFmtId="0" fontId="0" fillId="2" borderId="7" xfId="0" applyFill="1" applyBorder="1" applyAlignment="1">
      <alignment horizontal="center"/>
    </xf>
    <xf numFmtId="0" fontId="0" fillId="2" borderId="3" xfId="0" applyFill="1" applyBorder="1" applyAlignment="1">
      <alignment horizontal="center"/>
    </xf>
    <xf numFmtId="0" fontId="0" fillId="2" borderId="8" xfId="0" applyFill="1" applyBorder="1" applyAlignment="1">
      <alignment horizontal="center"/>
    </xf>
    <xf numFmtId="0" fontId="0" fillId="2" borderId="4" xfId="0" applyFill="1" applyBorder="1" applyAlignment="1">
      <alignment horizontal="center"/>
    </xf>
    <xf numFmtId="0" fontId="0" fillId="2" borderId="9" xfId="0" applyFill="1" applyBorder="1" applyAlignment="1">
      <alignment horizontal="center"/>
    </xf>
    <xf numFmtId="0" fontId="0" fillId="2" borderId="2" xfId="0" applyFill="1" applyBorder="1" applyAlignment="1">
      <alignment horizontal="center"/>
    </xf>
    <xf numFmtId="0" fontId="0" fillId="2" borderId="0" xfId="0" applyFill="1" applyBorder="1" applyAlignment="1">
      <alignment horizontal="center"/>
    </xf>
    <xf numFmtId="0" fontId="0" fillId="2" borderId="5" xfId="0" applyFill="1" applyBorder="1" applyAlignment="1">
      <alignment horizontal="center"/>
    </xf>
    <xf numFmtId="0" fontId="0" fillId="0" borderId="0" xfId="0"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2" xfId="0" applyFill="1" applyBorder="1" applyAlignment="1">
      <alignment horizontal="center"/>
    </xf>
    <xf numFmtId="14" fontId="0" fillId="0" borderId="10" xfId="0" applyNumberFormat="1" applyBorder="1" applyAlignment="1">
      <alignment horizontal="center"/>
    </xf>
    <xf numFmtId="14" fontId="0" fillId="0" borderId="15" xfId="0" applyNumberFormat="1" applyBorder="1" applyAlignment="1">
      <alignment horizontal="center"/>
    </xf>
    <xf numFmtId="0" fontId="6" fillId="0" borderId="0" xfId="0" applyFont="1" applyBorder="1"/>
    <xf numFmtId="14" fontId="0" fillId="0" borderId="13" xfId="0" applyNumberFormat="1" applyBorder="1" applyAlignment="1">
      <alignment horizontal="center"/>
    </xf>
    <xf numFmtId="14" fontId="0" fillId="0" borderId="11" xfId="0" applyNumberFormat="1" applyFill="1" applyBorder="1" applyAlignment="1">
      <alignment horizontal="center"/>
    </xf>
    <xf numFmtId="0" fontId="0" fillId="0" borderId="11" xfId="0" applyFill="1" applyBorder="1" applyAlignment="1">
      <alignment horizontal="center"/>
    </xf>
    <xf numFmtId="14" fontId="0" fillId="0" borderId="12" xfId="0" applyNumberFormat="1" applyFill="1" applyBorder="1" applyAlignment="1">
      <alignment horizontal="center"/>
    </xf>
    <xf numFmtId="0" fontId="5" fillId="2" borderId="16" xfId="0" applyFont="1" applyFill="1" applyBorder="1" applyAlignment="1">
      <alignment horizontal="center"/>
    </xf>
    <xf numFmtId="0" fontId="6" fillId="2" borderId="0" xfId="0" applyFont="1" applyFill="1" applyBorder="1" applyAlignment="1">
      <alignment horizontal="center"/>
    </xf>
    <xf numFmtId="0" fontId="6" fillId="0" borderId="0" xfId="0" applyFont="1"/>
    <xf numFmtId="0" fontId="7" fillId="0" borderId="0" xfId="0" applyFont="1" applyAlignment="1">
      <alignment wrapText="1"/>
    </xf>
    <xf numFmtId="14" fontId="6" fillId="0" borderId="0" xfId="0" applyNumberFormat="1" applyFont="1"/>
    <xf numFmtId="0" fontId="13" fillId="0" borderId="0" xfId="0" applyFont="1"/>
    <xf numFmtId="0" fontId="0" fillId="3" borderId="2" xfId="0" applyFill="1" applyBorder="1" applyAlignment="1">
      <alignment horizontal="center"/>
    </xf>
    <xf numFmtId="0" fontId="6" fillId="3" borderId="0" xfId="0" applyFont="1" applyFill="1" applyBorder="1" applyAlignment="1">
      <alignment horizontal="center"/>
    </xf>
    <xf numFmtId="0" fontId="0" fillId="3" borderId="0" xfId="0" applyFill="1" applyBorder="1" applyAlignment="1">
      <alignment horizontal="center"/>
    </xf>
    <xf numFmtId="0" fontId="0" fillId="3" borderId="5" xfId="0" applyFill="1" applyBorder="1" applyAlignment="1">
      <alignment horizontal="center"/>
    </xf>
    <xf numFmtId="0" fontId="14" fillId="0" borderId="0" xfId="0" applyFont="1"/>
    <xf numFmtId="0" fontId="14" fillId="0" borderId="0" xfId="0" applyFont="1" applyAlignment="1">
      <alignment wrapText="1"/>
    </xf>
    <xf numFmtId="0" fontId="5" fillId="7" borderId="16" xfId="0" applyFont="1" applyFill="1" applyBorder="1"/>
    <xf numFmtId="0" fontId="5" fillId="0" borderId="0" xfId="0" applyFont="1" applyAlignment="1">
      <alignment horizontal="center"/>
    </xf>
    <xf numFmtId="0" fontId="10" fillId="2" borderId="2" xfId="0" applyFont="1" applyFill="1" applyBorder="1" applyAlignment="1">
      <alignment horizontal="center"/>
    </xf>
    <xf numFmtId="0" fontId="10" fillId="4" borderId="16" xfId="0" applyFont="1" applyFill="1" applyBorder="1" applyAlignment="1">
      <alignment horizontal="center"/>
    </xf>
    <xf numFmtId="0" fontId="0" fillId="5" borderId="16" xfId="0" applyFill="1" applyBorder="1" applyAlignment="1">
      <alignment horizontal="left"/>
    </xf>
    <xf numFmtId="0" fontId="7" fillId="5" borderId="7" xfId="0" applyFont="1" applyFill="1" applyBorder="1" applyAlignment="1">
      <alignment horizontal="center"/>
    </xf>
    <xf numFmtId="0" fontId="0" fillId="4" borderId="16" xfId="0" applyFill="1" applyBorder="1" applyAlignment="1">
      <alignment horizontal="left"/>
    </xf>
    <xf numFmtId="0" fontId="7" fillId="4" borderId="7" xfId="0" applyFont="1" applyFill="1" applyBorder="1" applyAlignment="1">
      <alignment horizontal="center"/>
    </xf>
    <xf numFmtId="0" fontId="8" fillId="3" borderId="2" xfId="0" applyFont="1" applyFill="1" applyBorder="1" applyAlignment="1">
      <alignment horizontal="center"/>
    </xf>
    <xf numFmtId="0" fontId="8" fillId="3" borderId="7" xfId="0" applyFont="1" applyFill="1" applyBorder="1" applyAlignment="1">
      <alignment horizontal="center"/>
    </xf>
    <xf numFmtId="0" fontId="11" fillId="6" borderId="2" xfId="0" applyFont="1" applyFill="1" applyBorder="1" applyAlignment="1">
      <alignment horizontal="center"/>
    </xf>
    <xf numFmtId="0" fontId="8" fillId="6" borderId="2" xfId="0" applyFont="1" applyFill="1" applyBorder="1" applyAlignment="1">
      <alignment horizontal="left"/>
    </xf>
    <xf numFmtId="0" fontId="8" fillId="6" borderId="2" xfId="0" applyFont="1" applyFill="1" applyBorder="1" applyAlignment="1">
      <alignment horizontal="center"/>
    </xf>
    <xf numFmtId="0" fontId="12" fillId="2" borderId="0" xfId="0" applyFont="1" applyFill="1" applyBorder="1" applyAlignment="1">
      <alignment horizontal="center"/>
    </xf>
    <xf numFmtId="0" fontId="12" fillId="4" borderId="3" xfId="0" applyFont="1" applyFill="1" applyBorder="1" applyAlignment="1">
      <alignment horizontal="center"/>
    </xf>
    <xf numFmtId="0" fontId="8" fillId="5" borderId="3" xfId="0" applyFont="1" applyFill="1" applyBorder="1" applyAlignment="1">
      <alignment horizontal="center"/>
    </xf>
    <xf numFmtId="0" fontId="8" fillId="5" borderId="8" xfId="0" applyFont="1" applyFill="1" applyBorder="1" applyAlignment="1">
      <alignment horizontal="center"/>
    </xf>
    <xf numFmtId="0" fontId="9" fillId="4" borderId="3" xfId="0" applyFont="1" applyFill="1" applyBorder="1" applyAlignment="1">
      <alignment horizontal="center"/>
    </xf>
    <xf numFmtId="0" fontId="8" fillId="4" borderId="8" xfId="0" applyFont="1" applyFill="1" applyBorder="1" applyAlignment="1">
      <alignment horizontal="center"/>
    </xf>
    <xf numFmtId="0" fontId="8" fillId="3" borderId="0" xfId="0" applyFont="1" applyFill="1" applyBorder="1" applyAlignment="1">
      <alignment horizontal="center"/>
    </xf>
    <xf numFmtId="0" fontId="8" fillId="3" borderId="8" xfId="0" applyFont="1" applyFill="1" applyBorder="1" applyAlignment="1">
      <alignment horizontal="center"/>
    </xf>
    <xf numFmtId="0" fontId="11" fillId="6" borderId="0" xfId="0" applyFont="1" applyFill="1" applyBorder="1" applyAlignment="1">
      <alignment horizontal="center"/>
    </xf>
    <xf numFmtId="0" fontId="8" fillId="6" borderId="0" xfId="0" applyFont="1" applyFill="1" applyBorder="1" applyAlignment="1">
      <alignment horizontal="center"/>
    </xf>
    <xf numFmtId="0" fontId="8" fillId="4" borderId="3" xfId="0" applyFont="1" applyFill="1" applyBorder="1" applyAlignment="1">
      <alignment horizontal="center"/>
    </xf>
    <xf numFmtId="0" fontId="12" fillId="2" borderId="5" xfId="0" applyFont="1" applyFill="1" applyBorder="1" applyAlignment="1">
      <alignment horizontal="center"/>
    </xf>
    <xf numFmtId="0" fontId="12" fillId="4" borderId="4" xfId="0" applyFont="1" applyFill="1" applyBorder="1" applyAlignment="1">
      <alignment horizontal="center"/>
    </xf>
    <xf numFmtId="0" fontId="8" fillId="5" borderId="4" xfId="0" applyFont="1" applyFill="1" applyBorder="1" applyAlignment="1">
      <alignment horizontal="center"/>
    </xf>
    <xf numFmtId="0" fontId="9" fillId="5" borderId="9" xfId="0" applyFont="1" applyFill="1" applyBorder="1" applyAlignment="1">
      <alignment horizontal="center"/>
    </xf>
    <xf numFmtId="0" fontId="9" fillId="4" borderId="4" xfId="0" applyFont="1" applyFill="1" applyBorder="1" applyAlignment="1">
      <alignment horizontal="center"/>
    </xf>
    <xf numFmtId="0" fontId="9" fillId="4" borderId="9" xfId="0" applyFont="1" applyFill="1" applyBorder="1" applyAlignment="1">
      <alignment horizontal="center"/>
    </xf>
    <xf numFmtId="0" fontId="8" fillId="3" borderId="5" xfId="0" applyFont="1" applyFill="1" applyBorder="1" applyAlignment="1">
      <alignment horizontal="center"/>
    </xf>
    <xf numFmtId="0" fontId="8" fillId="3" borderId="9" xfId="0" applyFont="1" applyFill="1" applyBorder="1" applyAlignment="1">
      <alignment horizontal="center"/>
    </xf>
    <xf numFmtId="0" fontId="11" fillId="6" borderId="5" xfId="0" applyFont="1" applyFill="1" applyBorder="1" applyAlignment="1">
      <alignment horizontal="center"/>
    </xf>
    <xf numFmtId="0" fontId="8" fillId="6" borderId="5" xfId="0" applyFont="1" applyFill="1" applyBorder="1" applyAlignment="1">
      <alignment horizontal="center"/>
    </xf>
    <xf numFmtId="0" fontId="0" fillId="0" borderId="6" xfId="0" applyBorder="1" applyAlignment="1">
      <alignment horizontal="center"/>
    </xf>
    <xf numFmtId="0" fontId="0" fillId="0" borderId="17" xfId="0" applyBorder="1" applyAlignment="1">
      <alignment horizontal="center"/>
    </xf>
    <xf numFmtId="0" fontId="0" fillId="0" borderId="1" xfId="0" applyBorder="1" applyAlignment="1">
      <alignment horizontal="center"/>
    </xf>
    <xf numFmtId="3" fontId="0" fillId="0" borderId="1" xfId="0" applyNumberFormat="1" applyBorder="1" applyAlignment="1">
      <alignment horizontal="center"/>
    </xf>
    <xf numFmtId="0" fontId="0" fillId="0" borderId="18" xfId="0" applyBorder="1" applyAlignment="1">
      <alignment horizontal="center"/>
    </xf>
    <xf numFmtId="164" fontId="0" fillId="0" borderId="1" xfId="0" applyNumberFormat="1" applyBorder="1" applyAlignment="1">
      <alignment horizontal="center"/>
    </xf>
    <xf numFmtId="0" fontId="0" fillId="8" borderId="6" xfId="0" applyFill="1" applyBorder="1" applyAlignment="1">
      <alignment horizontal="center"/>
    </xf>
    <xf numFmtId="0" fontId="0" fillId="8" borderId="1" xfId="0" applyFill="1" applyBorder="1" applyAlignment="1">
      <alignment horizontal="center"/>
    </xf>
    <xf numFmtId="14" fontId="0" fillId="0" borderId="6" xfId="0" applyNumberFormat="1" applyBorder="1"/>
    <xf numFmtId="3" fontId="0" fillId="0" borderId="6" xfId="0" applyNumberFormat="1" applyBorder="1" applyAlignment="1">
      <alignment horizontal="center"/>
    </xf>
    <xf numFmtId="14" fontId="0" fillId="0" borderId="20" xfId="0" applyNumberFormat="1" applyBorder="1"/>
    <xf numFmtId="0" fontId="0" fillId="0" borderId="19" xfId="0" applyBorder="1" applyAlignment="1">
      <alignment horizontal="center"/>
    </xf>
    <xf numFmtId="0" fontId="0" fillId="8" borderId="19" xfId="0" applyFill="1" applyBorder="1" applyAlignment="1">
      <alignment horizontal="left"/>
    </xf>
    <xf numFmtId="0" fontId="0" fillId="8" borderId="19" xfId="0" applyFill="1" applyBorder="1" applyAlignment="1">
      <alignment horizontal="center"/>
    </xf>
    <xf numFmtId="0" fontId="0" fillId="0" borderId="21" xfId="0" applyBorder="1" applyAlignment="1">
      <alignment horizontal="center"/>
    </xf>
    <xf numFmtId="0" fontId="0" fillId="0" borderId="19" xfId="0" applyBorder="1"/>
    <xf numFmtId="0" fontId="0" fillId="0" borderId="20" xfId="0" applyBorder="1" applyAlignment="1">
      <alignment horizontal="center"/>
    </xf>
    <xf numFmtId="3" fontId="0" fillId="0" borderId="20" xfId="0" applyNumberFormat="1" applyBorder="1" applyAlignment="1">
      <alignment horizontal="center"/>
    </xf>
    <xf numFmtId="0" fontId="0" fillId="8" borderId="20" xfId="0" applyFill="1" applyBorder="1" applyAlignment="1">
      <alignment horizontal="left"/>
    </xf>
    <xf numFmtId="0" fontId="0" fillId="8" borderId="20" xfId="0" applyFill="1" applyBorder="1" applyAlignment="1">
      <alignment horizontal="center"/>
    </xf>
    <xf numFmtId="0" fontId="0" fillId="0" borderId="22" xfId="0" applyBorder="1" applyAlignment="1">
      <alignment horizontal="center"/>
    </xf>
    <xf numFmtId="0" fontId="0" fillId="0" borderId="20" xfId="0" applyBorder="1"/>
    <xf numFmtId="14" fontId="0" fillId="0" borderId="11" xfId="0" applyNumberFormat="1" applyBorder="1" applyAlignment="1">
      <alignment horizontal="center"/>
    </xf>
    <xf numFmtId="1" fontId="10" fillId="4" borderId="16" xfId="0" applyNumberFormat="1" applyFont="1" applyFill="1" applyBorder="1" applyAlignment="1">
      <alignment horizontal="center"/>
    </xf>
    <xf numFmtId="0" fontId="0" fillId="9" borderId="19" xfId="0" applyFill="1" applyBorder="1"/>
    <xf numFmtId="0" fontId="0" fillId="9" borderId="6" xfId="0" applyFill="1" applyBorder="1"/>
    <xf numFmtId="0" fontId="0" fillId="9" borderId="1" xfId="0" applyFill="1" applyBorder="1"/>
    <xf numFmtId="0" fontId="0" fillId="9" borderId="20" xfId="0" applyFill="1" applyBorder="1"/>
    <xf numFmtId="164" fontId="0" fillId="9" borderId="1" xfId="0" applyNumberFormat="1" applyFill="1" applyBorder="1"/>
    <xf numFmtId="0" fontId="16" fillId="0" borderId="1" xfId="0" applyFont="1" applyBorder="1" applyAlignment="1">
      <alignment horizontal="center"/>
    </xf>
    <xf numFmtId="0" fontId="16" fillId="0" borderId="20" xfId="0" applyFont="1" applyBorder="1" applyAlignment="1">
      <alignment horizontal="center"/>
    </xf>
    <xf numFmtId="0" fontId="16" fillId="0" borderId="6" xfId="0" applyFont="1" applyBorder="1" applyAlignment="1">
      <alignment horizontal="center"/>
    </xf>
    <xf numFmtId="0" fontId="16" fillId="0" borderId="23" xfId="0" applyFont="1" applyBorder="1" applyAlignment="1">
      <alignment horizontal="center"/>
    </xf>
    <xf numFmtId="0" fontId="6" fillId="0" borderId="1" xfId="0" applyFont="1" applyBorder="1" applyAlignment="1">
      <alignment horizontal="center"/>
    </xf>
    <xf numFmtId="3" fontId="6" fillId="0" borderId="1" xfId="0" applyNumberFormat="1" applyFont="1" applyBorder="1" applyAlignment="1">
      <alignment horizontal="center"/>
    </xf>
    <xf numFmtId="0" fontId="0" fillId="10" borderId="17" xfId="0" applyFill="1" applyBorder="1" applyAlignment="1">
      <alignment horizontal="center"/>
    </xf>
    <xf numFmtId="0" fontId="0" fillId="10" borderId="6" xfId="0" applyFill="1" applyBorder="1" applyAlignment="1">
      <alignment horizontal="center"/>
    </xf>
    <xf numFmtId="0" fontId="0" fillId="10" borderId="18" xfId="0" applyFill="1" applyBorder="1" applyAlignment="1">
      <alignment horizontal="center"/>
    </xf>
    <xf numFmtId="0" fontId="0" fillId="10" borderId="1" xfId="0" applyFill="1" applyBorder="1" applyAlignment="1">
      <alignment horizontal="center"/>
    </xf>
    <xf numFmtId="164" fontId="0" fillId="10" borderId="18" xfId="0" applyNumberFormat="1" applyFill="1" applyBorder="1" applyAlignment="1">
      <alignment horizontal="center"/>
    </xf>
    <xf numFmtId="164" fontId="0" fillId="10" borderId="1" xfId="0" applyNumberFormat="1" applyFill="1" applyBorder="1" applyAlignment="1">
      <alignment horizontal="center"/>
    </xf>
    <xf numFmtId="0" fontId="0" fillId="10" borderId="22" xfId="0" applyFill="1" applyBorder="1" applyAlignment="1">
      <alignment horizontal="center"/>
    </xf>
    <xf numFmtId="0" fontId="0" fillId="10" borderId="6" xfId="0" applyFill="1" applyBorder="1"/>
    <xf numFmtId="0" fontId="0" fillId="10" borderId="1" xfId="0" applyFill="1" applyBorder="1"/>
    <xf numFmtId="44" fontId="0" fillId="10" borderId="20" xfId="2" applyFont="1" applyFill="1" applyBorder="1" applyAlignment="1">
      <alignment horizontal="center"/>
    </xf>
    <xf numFmtId="4" fontId="0" fillId="10" borderId="20" xfId="0" applyNumberFormat="1" applyFill="1" applyBorder="1"/>
    <xf numFmtId="165" fontId="0" fillId="10" borderId="20" xfId="0" applyNumberFormat="1" applyFill="1" applyBorder="1"/>
    <xf numFmtId="43" fontId="6" fillId="11" borderId="6" xfId="3" applyFont="1" applyFill="1" applyBorder="1" applyAlignment="1">
      <alignment horizontal="center"/>
    </xf>
    <xf numFmtId="44" fontId="18" fillId="0" borderId="1" xfId="2" applyFont="1" applyFill="1" applyBorder="1"/>
    <xf numFmtId="166" fontId="6" fillId="11" borderId="6" xfId="3" applyNumberFormat="1" applyFont="1" applyFill="1" applyBorder="1" applyAlignment="1">
      <alignment horizontal="center"/>
    </xf>
    <xf numFmtId="8" fontId="6" fillId="11" borderId="1" xfId="0" applyNumberFormat="1" applyFont="1" applyFill="1" applyBorder="1" applyAlignment="1">
      <alignment horizontal="center"/>
    </xf>
    <xf numFmtId="44" fontId="0" fillId="0" borderId="6" xfId="2" applyFont="1" applyBorder="1"/>
    <xf numFmtId="44" fontId="0" fillId="0" borderId="1" xfId="2" applyFont="1" applyBorder="1"/>
    <xf numFmtId="44" fontId="0" fillId="0" borderId="20" xfId="2" applyFont="1" applyBorder="1"/>
    <xf numFmtId="44" fontId="0" fillId="0" borderId="6" xfId="2" applyFont="1" applyBorder="1" applyAlignment="1">
      <alignment horizontal="center"/>
    </xf>
    <xf numFmtId="44" fontId="0" fillId="0" borderId="1" xfId="2" applyFont="1" applyBorder="1" applyAlignment="1">
      <alignment horizontal="center"/>
    </xf>
    <xf numFmtId="44" fontId="0" fillId="0" borderId="20" xfId="2" applyFont="1" applyBorder="1" applyAlignment="1">
      <alignment horizontal="center"/>
    </xf>
    <xf numFmtId="0" fontId="0" fillId="12" borderId="17" xfId="0" applyFill="1" applyBorder="1" applyAlignment="1">
      <alignment horizontal="center"/>
    </xf>
    <xf numFmtId="44" fontId="0" fillId="12" borderId="6" xfId="2" applyFont="1" applyFill="1" applyBorder="1" applyAlignment="1">
      <alignment horizontal="center"/>
    </xf>
    <xf numFmtId="44" fontId="0" fillId="12" borderId="6" xfId="2" applyFont="1" applyFill="1" applyBorder="1"/>
    <xf numFmtId="4" fontId="0" fillId="12" borderId="6" xfId="0" applyNumberFormat="1" applyFill="1" applyBorder="1"/>
    <xf numFmtId="164" fontId="7" fillId="0" borderId="6" xfId="0" applyNumberFormat="1" applyFont="1" applyBorder="1" applyAlignment="1">
      <alignment horizontal="center"/>
    </xf>
    <xf numFmtId="164" fontId="0" fillId="0" borderId="6" xfId="0" applyNumberFormat="1" applyBorder="1" applyAlignment="1">
      <alignment horizontal="center"/>
    </xf>
    <xf numFmtId="164" fontId="0" fillId="8" borderId="6" xfId="0" applyNumberFormat="1" applyFill="1" applyBorder="1" applyAlignment="1">
      <alignment horizontal="center"/>
    </xf>
    <xf numFmtId="164" fontId="0" fillId="8" borderId="1" xfId="0" applyNumberFormat="1" applyFill="1" applyBorder="1" applyAlignment="1">
      <alignment horizontal="center"/>
    </xf>
    <xf numFmtId="164" fontId="0" fillId="0" borderId="20" xfId="0" applyNumberFormat="1" applyBorder="1" applyAlignment="1">
      <alignment horizontal="center"/>
    </xf>
    <xf numFmtId="164" fontId="0" fillId="8" borderId="20" xfId="0" applyNumberFormat="1" applyFill="1" applyBorder="1" applyAlignment="1">
      <alignment horizontal="center"/>
    </xf>
    <xf numFmtId="3" fontId="7" fillId="0" borderId="6" xfId="0" applyNumberFormat="1" applyFont="1" applyBorder="1" applyAlignment="1">
      <alignment horizontal="center"/>
    </xf>
    <xf numFmtId="4" fontId="6" fillId="0" borderId="0" xfId="0" applyNumberFormat="1" applyFont="1"/>
    <xf numFmtId="44" fontId="6" fillId="0" borderId="1" xfId="11" applyFont="1" applyBorder="1"/>
    <xf numFmtId="14" fontId="0" fillId="0" borderId="1" xfId="0" applyNumberFormat="1" applyBorder="1"/>
    <xf numFmtId="4" fontId="0" fillId="0" borderId="6" xfId="0" applyNumberFormat="1" applyBorder="1"/>
    <xf numFmtId="4" fontId="0" fillId="0" borderId="17" xfId="0" applyNumberFormat="1" applyBorder="1" applyAlignment="1">
      <alignment horizontal="center"/>
    </xf>
    <xf numFmtId="3" fontId="0" fillId="0" borderId="0" xfId="0" applyNumberFormat="1" applyFill="1" applyBorder="1" applyAlignment="1">
      <alignment horizontal="center"/>
    </xf>
    <xf numFmtId="164" fontId="0" fillId="0" borderId="0" xfId="0" applyNumberFormat="1" applyFill="1" applyBorder="1" applyAlignment="1">
      <alignment horizontal="center"/>
    </xf>
    <xf numFmtId="3" fontId="0" fillId="0" borderId="1" xfId="0" applyNumberFormat="1" applyFill="1" applyBorder="1" applyAlignment="1">
      <alignment horizontal="center"/>
    </xf>
    <xf numFmtId="164" fontId="0" fillId="0" borderId="1" xfId="0" applyNumberFormat="1" applyFill="1" applyBorder="1" applyAlignment="1">
      <alignment horizontal="center"/>
    </xf>
    <xf numFmtId="3" fontId="0" fillId="0" borderId="20" xfId="0" applyNumberFormat="1" applyFill="1" applyBorder="1" applyAlignment="1">
      <alignment horizontal="center"/>
    </xf>
    <xf numFmtId="164" fontId="0" fillId="0" borderId="20" xfId="0" applyNumberFormat="1" applyFill="1" applyBorder="1" applyAlignment="1">
      <alignment horizontal="center"/>
    </xf>
    <xf numFmtId="4" fontId="0" fillId="0" borderId="20" xfId="0" applyNumberFormat="1" applyBorder="1"/>
    <xf numFmtId="165" fontId="0" fillId="0" borderId="20" xfId="0" applyNumberFormat="1" applyBorder="1"/>
    <xf numFmtId="3" fontId="0" fillId="0" borderId="6" xfId="0" applyNumberFormat="1" applyFill="1" applyBorder="1" applyAlignment="1">
      <alignment horizontal="center"/>
    </xf>
    <xf numFmtId="164" fontId="0" fillId="0" borderId="6" xfId="0" applyNumberFormat="1" applyFill="1" applyBorder="1" applyAlignment="1">
      <alignment horizontal="center"/>
    </xf>
    <xf numFmtId="14" fontId="0" fillId="0" borderId="1" xfId="0" applyNumberFormat="1" applyBorder="1" applyAlignment="1">
      <alignment horizontal="right"/>
    </xf>
    <xf numFmtId="3" fontId="0" fillId="13" borderId="1" xfId="0" applyNumberFormat="1" applyFill="1" applyBorder="1" applyAlignment="1">
      <alignment horizontal="center"/>
    </xf>
    <xf numFmtId="3" fontId="0" fillId="13" borderId="6" xfId="0" applyNumberFormat="1" applyFill="1" applyBorder="1" applyAlignment="1">
      <alignment horizontal="center"/>
    </xf>
    <xf numFmtId="3" fontId="0" fillId="13" borderId="20" xfId="0" applyNumberFormat="1" applyFill="1" applyBorder="1" applyAlignment="1">
      <alignment horizontal="center"/>
    </xf>
    <xf numFmtId="3" fontId="0" fillId="0" borderId="20" xfId="0" applyNumberFormat="1" applyBorder="1"/>
    <xf numFmtId="43" fontId="19" fillId="0" borderId="1" xfId="10" applyFont="1" applyBorder="1" applyAlignment="1">
      <alignment horizontal="center"/>
    </xf>
    <xf numFmtId="43" fontId="0" fillId="0" borderId="20" xfId="10" applyFont="1" applyBorder="1" applyAlignment="1">
      <alignment horizontal="center"/>
    </xf>
    <xf numFmtId="14" fontId="0" fillId="0" borderId="24" xfId="0" applyNumberFormat="1" applyBorder="1"/>
    <xf numFmtId="3" fontId="0" fillId="0" borderId="24" xfId="0" applyNumberFormat="1" applyBorder="1" applyAlignment="1">
      <alignment horizontal="center"/>
    </xf>
    <xf numFmtId="164" fontId="0" fillId="0" borderId="24" xfId="0" applyNumberFormat="1" applyBorder="1" applyAlignment="1">
      <alignment horizontal="center"/>
    </xf>
    <xf numFmtId="3" fontId="0" fillId="13" borderId="24" xfId="0" applyNumberFormat="1" applyFill="1" applyBorder="1" applyAlignment="1">
      <alignment horizontal="center"/>
    </xf>
    <xf numFmtId="0" fontId="0" fillId="0" borderId="24" xfId="0" applyBorder="1"/>
    <xf numFmtId="0" fontId="6" fillId="0" borderId="0" xfId="1" applyFont="1"/>
    <xf numFmtId="0" fontId="6" fillId="0" borderId="0" xfId="1" applyFont="1" applyFill="1" applyBorder="1"/>
    <xf numFmtId="0" fontId="6" fillId="0" borderId="0" xfId="0" applyFont="1" applyAlignment="1">
      <alignment vertical="center" wrapText="1"/>
    </xf>
    <xf numFmtId="0" fontId="0" fillId="0" borderId="0" xfId="0" applyAlignment="1">
      <alignment wrapText="1"/>
    </xf>
  </cellXfs>
  <cellStyles count="19">
    <cellStyle name="Euro" xfId="8" xr:uid="{00000000-0005-0000-0000-000000000000}"/>
    <cellStyle name="Hyperlink 2" xfId="12" xr:uid="{00000000-0005-0000-0000-000001000000}"/>
    <cellStyle name="Komma" xfId="3" builtinId="3"/>
    <cellStyle name="Komma 2" xfId="10" xr:uid="{00000000-0005-0000-0000-000003000000}"/>
    <cellStyle name="Komma 3" xfId="14" xr:uid="{00000000-0005-0000-0000-000004000000}"/>
    <cellStyle name="Komma 4" xfId="18" xr:uid="{00000000-0005-0000-0000-000005000000}"/>
    <cellStyle name="Komma 5" xfId="7" xr:uid="{00000000-0005-0000-0000-000006000000}"/>
    <cellStyle name="Link" xfId="1" builtinId="8"/>
    <cellStyle name="Prozent 2" xfId="6" xr:uid="{00000000-0005-0000-0000-000008000000}"/>
    <cellStyle name="Standard" xfId="0" builtinId="0"/>
    <cellStyle name="Standard 2" xfId="9" xr:uid="{00000000-0005-0000-0000-00000A000000}"/>
    <cellStyle name="Standard 3" xfId="13" xr:uid="{00000000-0005-0000-0000-00000B000000}"/>
    <cellStyle name="Standard 4" xfId="17" xr:uid="{00000000-0005-0000-0000-00000C000000}"/>
    <cellStyle name="Standard 5" xfId="4" xr:uid="{00000000-0005-0000-0000-00000D000000}"/>
    <cellStyle name="Währung" xfId="2" builtinId="4"/>
    <cellStyle name="Währung 2" xfId="11" xr:uid="{00000000-0005-0000-0000-00000F000000}"/>
    <cellStyle name="Währung 2 2" xfId="16" xr:uid="{00000000-0005-0000-0000-000010000000}"/>
    <cellStyle name="Währung 3" xfId="15" xr:uid="{00000000-0005-0000-0000-000011000000}"/>
    <cellStyle name="Währung 4" xfId="5" xr:uid="{00000000-0005-0000-0000-000012000000}"/>
  </cellStyles>
  <dxfs count="0"/>
  <tableStyles count="0" defaultTableStyle="TableStyleMedium2" defaultPivotStyle="PivotStyleLight16"/>
  <colors>
    <mruColors>
      <color rgb="FF99FF99"/>
      <color rgb="FF99FF66"/>
      <color rgb="FF99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sven.ehrenberg@lichtenstern.info" TargetMode="External"/><Relationship Id="rId1" Type="http://schemas.openxmlformats.org/officeDocument/2006/relationships/hyperlink" Target="mailto:Hans.Huebner@schulstiftung.inf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3"/>
  <sheetViews>
    <sheetView workbookViewId="0">
      <selection activeCell="E23" sqref="E23"/>
    </sheetView>
  </sheetViews>
  <sheetFormatPr baseColWidth="10" defaultRowHeight="12.75" x14ac:dyDescent="0.2"/>
  <cols>
    <col min="1" max="1" width="22.7109375" customWidth="1"/>
    <col min="2" max="2" width="26" customWidth="1"/>
    <col min="3" max="3" width="21.28515625" customWidth="1"/>
    <col min="4" max="4" width="32.7109375" customWidth="1"/>
  </cols>
  <sheetData>
    <row r="1" spans="1:5" x14ac:dyDescent="0.2">
      <c r="A1" s="5" t="s">
        <v>21</v>
      </c>
    </row>
    <row r="3" spans="1:5" x14ac:dyDescent="0.2">
      <c r="A3" s="5" t="s">
        <v>20</v>
      </c>
      <c r="B3" s="37" t="s">
        <v>116</v>
      </c>
      <c r="C3" s="37"/>
      <c r="D3" s="37"/>
      <c r="E3" s="37"/>
    </row>
    <row r="4" spans="1:5" x14ac:dyDescent="0.2">
      <c r="B4" s="37" t="s">
        <v>106</v>
      </c>
      <c r="C4" s="37"/>
      <c r="D4" s="37"/>
      <c r="E4" s="37"/>
    </row>
    <row r="5" spans="1:5" x14ac:dyDescent="0.2">
      <c r="B5" s="37" t="s">
        <v>107</v>
      </c>
      <c r="C5" s="37"/>
      <c r="D5" s="37"/>
      <c r="E5" s="37"/>
    </row>
    <row r="6" spans="1:5" x14ac:dyDescent="0.2">
      <c r="A6" t="s">
        <v>62</v>
      </c>
      <c r="B6" s="37" t="s">
        <v>108</v>
      </c>
      <c r="C6" s="37" t="s">
        <v>63</v>
      </c>
      <c r="D6" s="37" t="s">
        <v>120</v>
      </c>
      <c r="E6" s="37" t="s">
        <v>64</v>
      </c>
    </row>
    <row r="7" spans="1:5" x14ac:dyDescent="0.2">
      <c r="B7" s="37" t="s">
        <v>122</v>
      </c>
      <c r="C7" s="37"/>
      <c r="D7" s="37" t="s">
        <v>113</v>
      </c>
      <c r="E7" s="37"/>
    </row>
    <row r="8" spans="1:5" s="37" customFormat="1" x14ac:dyDescent="0.2">
      <c r="B8" s="176" t="s">
        <v>109</v>
      </c>
      <c r="D8" s="177" t="s">
        <v>121</v>
      </c>
    </row>
    <row r="9" spans="1:5" x14ac:dyDescent="0.2">
      <c r="B9" s="37"/>
      <c r="C9" s="37"/>
      <c r="E9" s="37"/>
    </row>
    <row r="10" spans="1:5" x14ac:dyDescent="0.2">
      <c r="A10" s="5" t="s">
        <v>14</v>
      </c>
      <c r="B10" s="37" t="s">
        <v>115</v>
      </c>
      <c r="C10" s="37"/>
      <c r="D10" s="37"/>
      <c r="E10" s="37"/>
    </row>
    <row r="11" spans="1:5" x14ac:dyDescent="0.2">
      <c r="B11" s="37" t="s">
        <v>110</v>
      </c>
      <c r="C11" s="37"/>
      <c r="D11" s="37"/>
      <c r="E11" s="37"/>
    </row>
    <row r="12" spans="1:5" x14ac:dyDescent="0.2">
      <c r="B12" s="37" t="s">
        <v>111</v>
      </c>
      <c r="C12" s="37"/>
      <c r="D12" s="37"/>
      <c r="E12" s="37"/>
    </row>
    <row r="13" spans="1:5" x14ac:dyDescent="0.2">
      <c r="B13" s="37"/>
      <c r="C13" s="37"/>
      <c r="D13" s="37"/>
      <c r="E13" s="37"/>
    </row>
    <row r="14" spans="1:5" x14ac:dyDescent="0.2">
      <c r="A14" s="5" t="s">
        <v>48</v>
      </c>
      <c r="B14" s="37"/>
      <c r="C14" s="37"/>
      <c r="D14" s="37"/>
      <c r="E14" s="37"/>
    </row>
    <row r="15" spans="1:5" x14ac:dyDescent="0.2">
      <c r="A15" t="str">
        <f>+Verbrauchsdaten!A7</f>
        <v>BHKW Type:</v>
      </c>
      <c r="B15" s="37" t="s">
        <v>112</v>
      </c>
      <c r="C15" s="37"/>
      <c r="D15" s="37"/>
      <c r="E15" s="37"/>
    </row>
    <row r="16" spans="1:5" x14ac:dyDescent="0.2">
      <c r="A16" t="s">
        <v>22</v>
      </c>
      <c r="B16" s="37">
        <v>34</v>
      </c>
      <c r="C16" s="37" t="s">
        <v>60</v>
      </c>
      <c r="D16" s="37"/>
      <c r="E16" s="37"/>
    </row>
    <row r="17" spans="1:5" x14ac:dyDescent="0.2">
      <c r="A17" t="s">
        <v>23</v>
      </c>
      <c r="B17" s="37">
        <v>78</v>
      </c>
      <c r="C17" s="37" t="s">
        <v>60</v>
      </c>
      <c r="D17" s="37"/>
      <c r="E17" s="37"/>
    </row>
    <row r="18" spans="1:5" x14ac:dyDescent="0.2">
      <c r="A18" t="s">
        <v>24</v>
      </c>
      <c r="B18" s="37">
        <v>108</v>
      </c>
      <c r="C18" s="37" t="s">
        <v>61</v>
      </c>
      <c r="D18" s="37"/>
      <c r="E18" s="37"/>
    </row>
    <row r="19" spans="1:5" x14ac:dyDescent="0.2">
      <c r="A19" t="s">
        <v>25</v>
      </c>
      <c r="B19" s="39">
        <v>41849</v>
      </c>
      <c r="C19" s="37"/>
      <c r="D19" s="37"/>
      <c r="E19" s="37"/>
    </row>
    <row r="20" spans="1:5" x14ac:dyDescent="0.2">
      <c r="B20" s="37"/>
      <c r="C20" s="37"/>
      <c r="D20" s="37"/>
      <c r="E20" s="37"/>
    </row>
    <row r="21" spans="1:5" x14ac:dyDescent="0.2">
      <c r="A21" t="s">
        <v>49</v>
      </c>
      <c r="B21" s="37">
        <v>250</v>
      </c>
      <c r="C21" s="37" t="s">
        <v>50</v>
      </c>
      <c r="D21" s="37"/>
      <c r="E21" s="37"/>
    </row>
    <row r="22" spans="1:5" x14ac:dyDescent="0.2">
      <c r="A22" t="s">
        <v>51</v>
      </c>
      <c r="B22" s="37">
        <v>22</v>
      </c>
      <c r="C22" s="37" t="s">
        <v>52</v>
      </c>
      <c r="D22" s="37"/>
      <c r="E22" s="37"/>
    </row>
    <row r="23" spans="1:5" x14ac:dyDescent="0.2">
      <c r="B23" s="37"/>
      <c r="C23" s="37"/>
      <c r="D23" s="37"/>
      <c r="E23" s="37"/>
    </row>
    <row r="24" spans="1:5" x14ac:dyDescent="0.2">
      <c r="A24" t="s">
        <v>16</v>
      </c>
      <c r="B24" s="149">
        <v>199000</v>
      </c>
      <c r="C24" s="37" t="s">
        <v>104</v>
      </c>
      <c r="D24" s="37"/>
      <c r="E24" s="37"/>
    </row>
    <row r="25" spans="1:5" x14ac:dyDescent="0.2">
      <c r="A25" t="s">
        <v>17</v>
      </c>
      <c r="B25" s="149">
        <v>2</v>
      </c>
      <c r="C25" s="37" t="s">
        <v>105</v>
      </c>
      <c r="D25" s="37"/>
      <c r="E25" s="37"/>
    </row>
    <row r="28" spans="1:5" x14ac:dyDescent="0.2">
      <c r="B28" s="5" t="s">
        <v>26</v>
      </c>
      <c r="C28" s="5" t="s">
        <v>18</v>
      </c>
    </row>
    <row r="29" spans="1:5" x14ac:dyDescent="0.2">
      <c r="A29" s="5">
        <v>2017</v>
      </c>
      <c r="B29" s="4"/>
      <c r="C29" s="4"/>
    </row>
    <row r="30" spans="1:5" x14ac:dyDescent="0.2">
      <c r="A30" s="5">
        <v>2017</v>
      </c>
      <c r="B30" s="133">
        <v>8073.74</v>
      </c>
      <c r="C30" s="4"/>
    </row>
    <row r="31" spans="1:5" x14ac:dyDescent="0.2">
      <c r="A31" s="5">
        <v>2016</v>
      </c>
      <c r="B31" s="150">
        <v>8443.6532110000007</v>
      </c>
      <c r="C31" s="4"/>
    </row>
    <row r="32" spans="1:5" x14ac:dyDescent="0.2">
      <c r="A32" s="5"/>
      <c r="B32" s="4"/>
      <c r="C32" s="4"/>
    </row>
    <row r="33" spans="1:3" x14ac:dyDescent="0.2">
      <c r="A33" s="5"/>
      <c r="B33" s="4"/>
      <c r="C33" s="4"/>
    </row>
  </sheetData>
  <phoneticPr fontId="2" type="noConversion"/>
  <hyperlinks>
    <hyperlink ref="B8" r:id="rId1" xr:uid="{00000000-0004-0000-0000-000000000000}"/>
    <hyperlink ref="D8" r:id="rId2" xr:uid="{B84227B1-63DE-4831-B5C1-C10CC7CA09FC}"/>
  </hyperlinks>
  <pageMargins left="0.78740157499999996" right="0.78740157499999996" top="0.984251969" bottom="0.984251969" header="0.4921259845" footer="0.4921259845"/>
  <pageSetup paperSize="9" orientation="portrait"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130"/>
  <sheetViews>
    <sheetView tabSelected="1" zoomScaleNormal="100" workbookViewId="0">
      <selection activeCell="M127" sqref="M127"/>
    </sheetView>
  </sheetViews>
  <sheetFormatPr baseColWidth="10" defaultRowHeight="12.75" x14ac:dyDescent="0.2"/>
  <cols>
    <col min="1" max="1" width="13.5703125" customWidth="1"/>
    <col min="2" max="6" width="18.7109375" customWidth="1"/>
    <col min="7" max="7" width="25.85546875" customWidth="1"/>
    <col min="8" max="12" width="18.7109375" hidden="1" customWidth="1"/>
    <col min="13" max="15" width="18.7109375" customWidth="1"/>
    <col min="16" max="17" width="18.7109375" hidden="1" customWidth="1"/>
    <col min="18" max="19" width="17.7109375" customWidth="1"/>
  </cols>
  <sheetData>
    <row r="1" spans="1:19" ht="15.75" x14ac:dyDescent="0.25">
      <c r="A1" s="2" t="s">
        <v>0</v>
      </c>
      <c r="C1" t="s">
        <v>117</v>
      </c>
      <c r="E1" s="5" t="s">
        <v>85</v>
      </c>
      <c r="J1" s="5"/>
    </row>
    <row r="2" spans="1:19" ht="15" x14ac:dyDescent="0.2">
      <c r="A2" s="3" t="s">
        <v>13</v>
      </c>
      <c r="B2" t="str">
        <f>+Anlagendaten!B3</f>
        <v>Schulstiftung der Evangelischen Landeskirche in Württemberg</v>
      </c>
      <c r="E2" s="39" t="s">
        <v>90</v>
      </c>
      <c r="J2" s="39"/>
    </row>
    <row r="3" spans="1:19" ht="15" x14ac:dyDescent="0.2">
      <c r="A3" s="3"/>
      <c r="E3" s="39" t="s">
        <v>95</v>
      </c>
      <c r="J3" s="39"/>
    </row>
    <row r="4" spans="1:19" ht="15" x14ac:dyDescent="0.2">
      <c r="A4" s="3" t="s">
        <v>14</v>
      </c>
      <c r="B4" t="str">
        <f>+Anlagendaten!B10</f>
        <v xml:space="preserve">Lichtenstern Gymnasium </v>
      </c>
      <c r="E4" s="40" t="s">
        <v>86</v>
      </c>
      <c r="J4" s="40"/>
    </row>
    <row r="5" spans="1:19" ht="15" x14ac:dyDescent="0.2">
      <c r="A5" s="3"/>
      <c r="E5" s="45" t="s">
        <v>94</v>
      </c>
      <c r="J5" s="40"/>
    </row>
    <row r="6" spans="1:19" ht="15" x14ac:dyDescent="0.2">
      <c r="A6" s="3"/>
      <c r="E6" s="45" t="s">
        <v>97</v>
      </c>
      <c r="J6" s="40"/>
    </row>
    <row r="7" spans="1:19" ht="15" x14ac:dyDescent="0.2">
      <c r="A7" s="3" t="s">
        <v>15</v>
      </c>
      <c r="B7" t="str">
        <f>+Anlagendaten!B15</f>
        <v xml:space="preserve">Kraftwerk Mephisto </v>
      </c>
      <c r="C7" s="37"/>
      <c r="D7" s="45" t="s">
        <v>92</v>
      </c>
      <c r="G7" s="45" t="s">
        <v>92</v>
      </c>
      <c r="I7" s="38"/>
      <c r="J7" s="38"/>
      <c r="K7" s="38"/>
      <c r="M7" s="38"/>
      <c r="N7" s="38"/>
      <c r="O7" s="46" t="s">
        <v>92</v>
      </c>
      <c r="Q7" s="38"/>
      <c r="R7" s="37" t="s">
        <v>81</v>
      </c>
    </row>
    <row r="8" spans="1:19" ht="15.75" thickBot="1" x14ac:dyDescent="0.25">
      <c r="A8" s="3"/>
      <c r="D8" s="48">
        <v>1</v>
      </c>
      <c r="G8" s="48">
        <v>120</v>
      </c>
      <c r="H8" s="48"/>
      <c r="M8">
        <v>383576</v>
      </c>
      <c r="P8" s="48"/>
      <c r="Q8" s="48"/>
    </row>
    <row r="9" spans="1:19" x14ac:dyDescent="0.2">
      <c r="B9" s="35" t="s">
        <v>2</v>
      </c>
      <c r="C9" s="18">
        <v>314378</v>
      </c>
      <c r="D9" s="49" t="s">
        <v>119</v>
      </c>
      <c r="E9" s="18"/>
      <c r="F9" s="13"/>
      <c r="G9" s="104">
        <v>21309589</v>
      </c>
      <c r="H9" s="50" t="s">
        <v>98</v>
      </c>
      <c r="I9" s="51" t="s">
        <v>91</v>
      </c>
      <c r="J9" s="52"/>
      <c r="K9" s="53" t="s">
        <v>91</v>
      </c>
      <c r="L9" s="54"/>
      <c r="M9" s="41" t="s">
        <v>84</v>
      </c>
      <c r="N9" s="55" t="s">
        <v>56</v>
      </c>
      <c r="O9" s="56" t="s">
        <v>54</v>
      </c>
      <c r="P9" s="57" t="s">
        <v>99</v>
      </c>
      <c r="Q9" s="57" t="s">
        <v>100</v>
      </c>
      <c r="R9" s="58" t="s">
        <v>93</v>
      </c>
      <c r="S9" s="59"/>
    </row>
    <row r="10" spans="1:19" x14ac:dyDescent="0.2">
      <c r="B10" s="14" t="s">
        <v>3</v>
      </c>
      <c r="C10" s="19" t="s">
        <v>6</v>
      </c>
      <c r="D10" s="60" t="s">
        <v>8</v>
      </c>
      <c r="E10" s="36" t="s">
        <v>79</v>
      </c>
      <c r="F10" s="15" t="s">
        <v>10</v>
      </c>
      <c r="G10" s="61" t="s">
        <v>78</v>
      </c>
      <c r="H10" s="61" t="s">
        <v>78</v>
      </c>
      <c r="I10" s="62" t="s">
        <v>78</v>
      </c>
      <c r="J10" s="63" t="s">
        <v>27</v>
      </c>
      <c r="K10" s="64" t="s">
        <v>8</v>
      </c>
      <c r="L10" s="65" t="s">
        <v>57</v>
      </c>
      <c r="M10" s="42" t="s">
        <v>88</v>
      </c>
      <c r="N10" s="66" t="s">
        <v>6</v>
      </c>
      <c r="O10" s="67" t="s">
        <v>55</v>
      </c>
      <c r="P10" s="68" t="s">
        <v>89</v>
      </c>
      <c r="Q10" s="68" t="s">
        <v>89</v>
      </c>
      <c r="R10" s="69" t="s">
        <v>11</v>
      </c>
      <c r="S10" s="69" t="s">
        <v>80</v>
      </c>
    </row>
    <row r="11" spans="1:19" x14ac:dyDescent="0.2">
      <c r="B11" s="14" t="s">
        <v>5</v>
      </c>
      <c r="C11" s="19" t="s">
        <v>5</v>
      </c>
      <c r="D11" s="60" t="s">
        <v>96</v>
      </c>
      <c r="E11" s="19" t="s">
        <v>5</v>
      </c>
      <c r="F11" s="19" t="s">
        <v>5</v>
      </c>
      <c r="G11" s="61" t="s">
        <v>96</v>
      </c>
      <c r="H11" s="61" t="s">
        <v>96</v>
      </c>
      <c r="I11" s="62"/>
      <c r="J11" s="63" t="s">
        <v>28</v>
      </c>
      <c r="K11" s="70"/>
      <c r="L11" s="65" t="s">
        <v>58</v>
      </c>
      <c r="M11" s="43" t="s">
        <v>96</v>
      </c>
      <c r="N11" s="66" t="s">
        <v>87</v>
      </c>
      <c r="O11" s="67" t="s">
        <v>87</v>
      </c>
      <c r="P11" s="68" t="s">
        <v>96</v>
      </c>
      <c r="Q11" s="68" t="s">
        <v>96</v>
      </c>
      <c r="R11" s="69" t="s">
        <v>19</v>
      </c>
      <c r="S11" s="69" t="s">
        <v>19</v>
      </c>
    </row>
    <row r="12" spans="1:19" ht="13.5" thickBot="1" x14ac:dyDescent="0.25">
      <c r="A12" t="s">
        <v>1</v>
      </c>
      <c r="B12" s="16" t="s">
        <v>4</v>
      </c>
      <c r="C12" s="20" t="s">
        <v>7</v>
      </c>
      <c r="D12" s="71" t="s">
        <v>9</v>
      </c>
      <c r="E12" s="20" t="s">
        <v>83</v>
      </c>
      <c r="F12" s="17" t="s">
        <v>53</v>
      </c>
      <c r="G12" s="72" t="s">
        <v>9</v>
      </c>
      <c r="H12" s="72" t="s">
        <v>9</v>
      </c>
      <c r="I12" s="73" t="s">
        <v>9</v>
      </c>
      <c r="J12" s="74" t="s">
        <v>82</v>
      </c>
      <c r="K12" s="75" t="s">
        <v>9</v>
      </c>
      <c r="L12" s="76" t="s">
        <v>82</v>
      </c>
      <c r="M12" s="44" t="s">
        <v>7</v>
      </c>
      <c r="N12" s="77" t="s">
        <v>9</v>
      </c>
      <c r="O12" s="78" t="s">
        <v>12</v>
      </c>
      <c r="P12" s="79" t="s">
        <v>9</v>
      </c>
      <c r="Q12" s="79" t="s">
        <v>9</v>
      </c>
      <c r="R12" s="80" t="s">
        <v>9</v>
      </c>
      <c r="S12" s="80" t="s">
        <v>12</v>
      </c>
    </row>
    <row r="13" spans="1:19" ht="20.100000000000001" hidden="1" customHeight="1" thickBot="1" x14ac:dyDescent="0.25">
      <c r="A13" s="91"/>
      <c r="B13" s="92" t="s">
        <v>114</v>
      </c>
      <c r="C13" s="92"/>
      <c r="D13" s="92"/>
      <c r="E13" s="92"/>
      <c r="F13" s="92"/>
      <c r="G13" s="92"/>
      <c r="H13" s="92"/>
      <c r="I13" s="93" t="s">
        <v>103</v>
      </c>
      <c r="J13" s="94"/>
      <c r="K13" s="94"/>
      <c r="L13" s="94"/>
      <c r="M13" s="92"/>
      <c r="N13" s="95"/>
      <c r="O13" s="92"/>
      <c r="P13" s="105"/>
      <c r="Q13" s="105"/>
      <c r="R13" s="96"/>
      <c r="S13" s="96"/>
    </row>
    <row r="14" spans="1:19" ht="20.100000000000001" hidden="1" customHeight="1" x14ac:dyDescent="0.2">
      <c r="A14" s="89">
        <v>41671</v>
      </c>
      <c r="B14" s="81" t="s">
        <v>114</v>
      </c>
      <c r="C14" s="81" t="s">
        <v>114</v>
      </c>
      <c r="D14" s="81"/>
      <c r="E14" s="81"/>
      <c r="F14" s="81"/>
      <c r="G14" s="90"/>
      <c r="H14" s="90"/>
      <c r="I14" s="87"/>
      <c r="J14" s="87"/>
      <c r="K14" s="87"/>
      <c r="L14" s="87"/>
      <c r="M14" s="81">
        <v>2497766.7000000002</v>
      </c>
      <c r="N14" s="82"/>
      <c r="O14" s="81"/>
      <c r="P14" s="106"/>
      <c r="Q14" s="106"/>
      <c r="R14" s="12"/>
      <c r="S14" s="12"/>
    </row>
    <row r="15" spans="1:19" ht="20.100000000000001" hidden="1" customHeight="1" x14ac:dyDescent="0.2">
      <c r="A15" s="89">
        <v>41699</v>
      </c>
      <c r="B15" s="83" t="s">
        <v>114</v>
      </c>
      <c r="C15" s="83" t="s">
        <v>114</v>
      </c>
      <c r="D15" s="83"/>
      <c r="E15" s="83"/>
      <c r="F15" s="83"/>
      <c r="G15" s="84"/>
      <c r="H15" s="84"/>
      <c r="I15" s="88"/>
      <c r="J15" s="88"/>
      <c r="K15" s="88"/>
      <c r="L15" s="88"/>
      <c r="M15" s="83">
        <v>2506385.7999999998</v>
      </c>
      <c r="N15" s="85"/>
      <c r="O15" s="83"/>
      <c r="P15" s="107"/>
      <c r="Q15" s="107"/>
      <c r="R15" s="4"/>
      <c r="S15" s="4"/>
    </row>
    <row r="16" spans="1:19" ht="20.100000000000001" hidden="1" customHeight="1" x14ac:dyDescent="0.2">
      <c r="A16" s="89">
        <v>41730</v>
      </c>
      <c r="B16" s="83" t="s">
        <v>114</v>
      </c>
      <c r="C16" s="83" t="s">
        <v>114</v>
      </c>
      <c r="D16" s="83"/>
      <c r="E16" s="83"/>
      <c r="F16" s="83"/>
      <c r="G16" s="84"/>
      <c r="H16" s="84"/>
      <c r="I16" s="88"/>
      <c r="J16" s="88"/>
      <c r="K16" s="88"/>
      <c r="L16" s="88"/>
      <c r="M16" s="83">
        <v>2511284.7999999998</v>
      </c>
      <c r="N16" s="85"/>
      <c r="O16" s="83"/>
      <c r="P16" s="107"/>
      <c r="Q16" s="107"/>
      <c r="R16" s="4"/>
      <c r="S16" s="4"/>
    </row>
    <row r="17" spans="1:19" ht="20.100000000000001" hidden="1" customHeight="1" x14ac:dyDescent="0.2">
      <c r="A17" s="89">
        <v>41760</v>
      </c>
      <c r="B17" s="83" t="s">
        <v>114</v>
      </c>
      <c r="C17" s="83" t="s">
        <v>114</v>
      </c>
      <c r="D17" s="83"/>
      <c r="E17" s="83"/>
      <c r="F17" s="83"/>
      <c r="G17" s="84"/>
      <c r="H17" s="84"/>
      <c r="I17" s="88"/>
      <c r="J17" s="88"/>
      <c r="K17" s="88"/>
      <c r="L17" s="88"/>
      <c r="M17" s="83">
        <v>2515015</v>
      </c>
      <c r="N17" s="85"/>
      <c r="O17" s="83"/>
      <c r="P17" s="107"/>
      <c r="Q17" s="107"/>
      <c r="R17" s="4"/>
      <c r="S17" s="4"/>
    </row>
    <row r="18" spans="1:19" ht="20.100000000000001" hidden="1" customHeight="1" x14ac:dyDescent="0.2">
      <c r="A18" s="89">
        <v>41791</v>
      </c>
      <c r="B18" s="83" t="s">
        <v>114</v>
      </c>
      <c r="C18" s="83" t="s">
        <v>114</v>
      </c>
      <c r="D18" s="83"/>
      <c r="E18" s="83"/>
      <c r="F18" s="83"/>
      <c r="G18" s="84"/>
      <c r="H18" s="84"/>
      <c r="I18" s="88"/>
      <c r="J18" s="88"/>
      <c r="K18" s="88"/>
      <c r="L18" s="88"/>
      <c r="M18" s="83">
        <v>2517686.7000000002</v>
      </c>
      <c r="N18" s="85"/>
      <c r="O18" s="83"/>
      <c r="P18" s="107"/>
      <c r="Q18" s="107"/>
      <c r="R18" s="4"/>
      <c r="S18" s="4"/>
    </row>
    <row r="19" spans="1:19" ht="20.100000000000001" hidden="1" customHeight="1" x14ac:dyDescent="0.2">
      <c r="A19" s="89">
        <v>41821</v>
      </c>
      <c r="B19" s="83" t="s">
        <v>114</v>
      </c>
      <c r="C19" s="83" t="s">
        <v>114</v>
      </c>
      <c r="D19" s="83"/>
      <c r="E19" s="83"/>
      <c r="F19" s="83"/>
      <c r="G19" s="84"/>
      <c r="H19" s="84"/>
      <c r="I19" s="88"/>
      <c r="J19" s="88"/>
      <c r="K19" s="88"/>
      <c r="L19" s="88"/>
      <c r="M19" s="83">
        <v>2518857.7000000002</v>
      </c>
      <c r="N19" s="85"/>
      <c r="O19" s="83"/>
      <c r="P19" s="107"/>
      <c r="Q19" s="107"/>
      <c r="R19" s="4"/>
      <c r="S19" s="4"/>
    </row>
    <row r="20" spans="1:19" ht="20.100000000000001" hidden="1" customHeight="1" x14ac:dyDescent="0.2">
      <c r="A20" s="89">
        <v>41852</v>
      </c>
      <c r="B20" s="83"/>
      <c r="C20" s="83" t="s">
        <v>114</v>
      </c>
      <c r="D20" s="83">
        <v>3</v>
      </c>
      <c r="E20" s="83"/>
      <c r="F20" s="83"/>
      <c r="G20" s="84"/>
      <c r="H20" s="84"/>
      <c r="I20" s="88"/>
      <c r="J20" s="88"/>
      <c r="K20" s="88"/>
      <c r="L20" s="88"/>
      <c r="M20" s="83">
        <v>2520714.2000000002</v>
      </c>
      <c r="N20" s="85"/>
      <c r="O20" s="83"/>
      <c r="P20" s="107"/>
      <c r="Q20" s="107"/>
      <c r="R20" s="4"/>
      <c r="S20" s="4"/>
    </row>
    <row r="21" spans="1:19" ht="20.100000000000001" hidden="1" customHeight="1" x14ac:dyDescent="0.2">
      <c r="A21" s="89">
        <v>41891</v>
      </c>
      <c r="B21" s="110">
        <v>317</v>
      </c>
      <c r="C21" s="83" t="s">
        <v>114</v>
      </c>
      <c r="D21" s="114">
        <v>4896</v>
      </c>
      <c r="E21" s="114" t="s">
        <v>114</v>
      </c>
      <c r="F21" s="110">
        <v>311</v>
      </c>
      <c r="G21" s="115" t="s">
        <v>114</v>
      </c>
      <c r="H21" s="84"/>
      <c r="I21" s="88"/>
      <c r="J21" s="88"/>
      <c r="K21" s="88"/>
      <c r="L21" s="88"/>
      <c r="M21" s="83">
        <v>2523006.2999999998</v>
      </c>
      <c r="N21" s="85"/>
      <c r="O21" s="83"/>
      <c r="P21" s="107"/>
      <c r="Q21" s="107"/>
      <c r="R21" s="4"/>
      <c r="S21" s="4"/>
    </row>
    <row r="22" spans="1:19" ht="20.100000000000001" hidden="1" customHeight="1" x14ac:dyDescent="0.2">
      <c r="A22" s="89">
        <v>41913</v>
      </c>
      <c r="B22" s="110">
        <v>533</v>
      </c>
      <c r="C22" s="83" t="s">
        <v>114</v>
      </c>
      <c r="D22" s="83">
        <v>14376</v>
      </c>
      <c r="E22" s="114" t="s">
        <v>114</v>
      </c>
      <c r="F22" s="110">
        <v>476</v>
      </c>
      <c r="G22" s="115" t="s">
        <v>114</v>
      </c>
      <c r="H22" s="84"/>
      <c r="I22" s="88"/>
      <c r="J22" s="88"/>
      <c r="K22" s="88"/>
      <c r="L22" s="88"/>
      <c r="M22" s="83">
        <v>2526512.7999999998</v>
      </c>
      <c r="N22" s="85"/>
      <c r="O22" s="83"/>
      <c r="P22" s="107"/>
      <c r="Q22" s="107"/>
      <c r="R22" s="4"/>
      <c r="S22" s="4"/>
    </row>
    <row r="23" spans="1:19" ht="20.100000000000001" hidden="1" customHeight="1" x14ac:dyDescent="0.2">
      <c r="A23" s="89">
        <v>41944</v>
      </c>
      <c r="B23" s="110">
        <v>968</v>
      </c>
      <c r="C23" s="83" t="s">
        <v>114</v>
      </c>
      <c r="D23" s="83">
        <v>26862</v>
      </c>
      <c r="E23" s="114" t="s">
        <v>114</v>
      </c>
      <c r="F23" s="110">
        <v>811</v>
      </c>
      <c r="G23" s="115" t="s">
        <v>114</v>
      </c>
      <c r="H23" s="84"/>
      <c r="I23" s="88"/>
      <c r="J23" s="88"/>
      <c r="K23" s="88"/>
      <c r="L23" s="88"/>
      <c r="M23" s="83">
        <v>2531021.7000000002</v>
      </c>
      <c r="N23" s="85"/>
      <c r="O23" s="83"/>
      <c r="P23" s="107"/>
      <c r="Q23" s="107"/>
      <c r="R23" s="4"/>
      <c r="S23" s="4"/>
    </row>
    <row r="24" spans="1:19" ht="20.100000000000001" hidden="1" customHeight="1" x14ac:dyDescent="0.2">
      <c r="A24" s="89">
        <v>41974</v>
      </c>
      <c r="B24" s="110">
        <v>1569</v>
      </c>
      <c r="C24" s="83">
        <v>159662.29999999999</v>
      </c>
      <c r="D24" s="83">
        <v>44486</v>
      </c>
      <c r="E24" s="83">
        <v>95</v>
      </c>
      <c r="F24" s="110">
        <v>911</v>
      </c>
      <c r="G24" s="115" t="s">
        <v>114</v>
      </c>
      <c r="H24" s="84"/>
      <c r="I24" s="88"/>
      <c r="J24" s="88"/>
      <c r="K24" s="88"/>
      <c r="L24" s="88"/>
      <c r="M24" s="83">
        <v>2540310.9</v>
      </c>
      <c r="N24" s="85"/>
      <c r="O24" s="83"/>
      <c r="P24" s="107"/>
      <c r="Q24" s="107"/>
      <c r="R24" s="4"/>
      <c r="S24" s="4"/>
    </row>
    <row r="25" spans="1:19" ht="20.100000000000001" hidden="1" customHeight="1" thickBot="1" x14ac:dyDescent="0.25">
      <c r="A25" s="91">
        <v>42005</v>
      </c>
      <c r="B25" s="111">
        <v>2290</v>
      </c>
      <c r="C25" s="97">
        <v>25872.38</v>
      </c>
      <c r="D25" s="97">
        <v>67983</v>
      </c>
      <c r="E25" s="97">
        <v>157</v>
      </c>
      <c r="F25" s="113">
        <v>923</v>
      </c>
      <c r="G25" s="98">
        <v>313</v>
      </c>
      <c r="H25" s="98"/>
      <c r="I25" s="99" t="s">
        <v>103</v>
      </c>
      <c r="J25" s="100"/>
      <c r="K25" s="100"/>
      <c r="L25" s="100"/>
      <c r="M25" s="97">
        <v>2554989.2999999998</v>
      </c>
      <c r="N25" s="101"/>
      <c r="O25" s="97"/>
      <c r="P25" s="108"/>
      <c r="Q25" s="108"/>
      <c r="R25" s="102"/>
      <c r="S25" s="102"/>
    </row>
    <row r="26" spans="1:19" ht="20.100000000000001" hidden="1" customHeight="1" x14ac:dyDescent="0.25">
      <c r="A26" s="89">
        <v>42036</v>
      </c>
      <c r="B26" s="112">
        <v>2996</v>
      </c>
      <c r="C26" s="81">
        <v>32869.5</v>
      </c>
      <c r="D26" s="81">
        <v>93756</v>
      </c>
      <c r="E26" s="81">
        <v>201</v>
      </c>
      <c r="F26" s="112">
        <v>938</v>
      </c>
      <c r="G26" s="90">
        <v>381</v>
      </c>
      <c r="H26" s="90"/>
      <c r="I26" s="128">
        <v>8160</v>
      </c>
      <c r="J26" s="129">
        <v>370.21454745441599</v>
      </c>
      <c r="K26" s="130">
        <v>25773</v>
      </c>
      <c r="L26" s="131">
        <v>1659.239967</v>
      </c>
      <c r="M26" s="81">
        <v>2566447.4</v>
      </c>
      <c r="N26" s="116"/>
      <c r="O26" s="117"/>
      <c r="P26" s="106"/>
      <c r="Q26" s="106"/>
      <c r="R26" s="123"/>
      <c r="S26" s="123"/>
    </row>
    <row r="27" spans="1:19" ht="20.100000000000001" hidden="1" customHeight="1" x14ac:dyDescent="0.25">
      <c r="A27" s="89">
        <v>42064</v>
      </c>
      <c r="B27" s="110">
        <v>3674</v>
      </c>
      <c r="C27" s="83">
        <v>40578.699999999997</v>
      </c>
      <c r="D27" s="83">
        <v>116444</v>
      </c>
      <c r="E27" s="83">
        <v>249</v>
      </c>
      <c r="F27" s="110">
        <v>942</v>
      </c>
      <c r="G27" s="84">
        <v>466</v>
      </c>
      <c r="H27" s="84"/>
      <c r="I27" s="128">
        <v>10200</v>
      </c>
      <c r="J27" s="129">
        <v>462.76818431801996</v>
      </c>
      <c r="K27" s="130">
        <v>22688</v>
      </c>
      <c r="L27" s="131">
        <v>1460.630752</v>
      </c>
      <c r="M27" s="83">
        <v>2579459.2000000002</v>
      </c>
      <c r="N27" s="118"/>
      <c r="O27" s="119"/>
      <c r="P27" s="107"/>
      <c r="Q27" s="107"/>
      <c r="R27" s="124"/>
      <c r="S27" s="124"/>
    </row>
    <row r="28" spans="1:19" ht="20.100000000000001" hidden="1" customHeight="1" x14ac:dyDescent="0.25">
      <c r="A28" s="89">
        <v>42095</v>
      </c>
      <c r="B28" s="110">
        <v>4326</v>
      </c>
      <c r="C28" s="83">
        <v>47720</v>
      </c>
      <c r="D28" s="83">
        <v>137129</v>
      </c>
      <c r="E28" s="83">
        <v>294</v>
      </c>
      <c r="F28" s="110">
        <v>990</v>
      </c>
      <c r="G28" s="84">
        <v>516</v>
      </c>
      <c r="H28" s="84"/>
      <c r="I28" s="128">
        <v>6000</v>
      </c>
      <c r="J28" s="129">
        <v>272.21657901060001</v>
      </c>
      <c r="K28" s="130">
        <v>20685</v>
      </c>
      <c r="L28" s="131">
        <v>1331.679615</v>
      </c>
      <c r="M28" s="83">
        <v>2589152.6</v>
      </c>
      <c r="N28" s="118"/>
      <c r="O28" s="119"/>
      <c r="P28" s="107"/>
      <c r="Q28" s="107"/>
      <c r="R28" s="124"/>
      <c r="S28" s="124"/>
    </row>
    <row r="29" spans="1:19" ht="20.100000000000001" hidden="1" customHeight="1" x14ac:dyDescent="0.25">
      <c r="A29" s="89">
        <v>42125</v>
      </c>
      <c r="B29" s="110">
        <v>4760</v>
      </c>
      <c r="C29" s="83">
        <v>52391.53</v>
      </c>
      <c r="D29" s="83">
        <v>150523</v>
      </c>
      <c r="E29" s="83">
        <v>323</v>
      </c>
      <c r="F29" s="110">
        <v>1071</v>
      </c>
      <c r="G29" s="114">
        <v>567</v>
      </c>
      <c r="H29" s="84"/>
      <c r="I29" s="128">
        <v>6120</v>
      </c>
      <c r="J29" s="129">
        <v>257.85169459081197</v>
      </c>
      <c r="K29" s="130">
        <v>13394</v>
      </c>
      <c r="L29" s="131">
        <v>862.292326</v>
      </c>
      <c r="M29" s="83">
        <v>2595544.1</v>
      </c>
      <c r="N29" s="118"/>
      <c r="O29" s="119"/>
      <c r="P29" s="107"/>
      <c r="Q29" s="107"/>
      <c r="R29" s="124"/>
      <c r="S29" s="124"/>
    </row>
    <row r="30" spans="1:19" ht="20.100000000000001" hidden="1" customHeight="1" x14ac:dyDescent="0.25">
      <c r="A30" s="89">
        <v>42156</v>
      </c>
      <c r="B30" s="110">
        <v>4987</v>
      </c>
      <c r="C30" s="83">
        <v>54807.5</v>
      </c>
      <c r="D30" s="83">
        <v>157375</v>
      </c>
      <c r="E30" s="83">
        <v>338</v>
      </c>
      <c r="F30" s="110">
        <v>1168</v>
      </c>
      <c r="G30" s="84">
        <v>600</v>
      </c>
      <c r="H30" s="84"/>
      <c r="I30" s="128">
        <v>3960</v>
      </c>
      <c r="J30" s="129">
        <v>166.84521414699597</v>
      </c>
      <c r="K30" s="130">
        <v>6852</v>
      </c>
      <c r="L30" s="131">
        <v>441.12490799999995</v>
      </c>
      <c r="M30" s="83">
        <v>2598595.5</v>
      </c>
      <c r="N30" s="118"/>
      <c r="O30" s="119"/>
      <c r="P30" s="107"/>
      <c r="Q30" s="107"/>
      <c r="R30" s="124"/>
      <c r="S30" s="124"/>
    </row>
    <row r="31" spans="1:19" ht="20.100000000000001" hidden="1" customHeight="1" x14ac:dyDescent="0.25">
      <c r="A31" s="89">
        <v>42186</v>
      </c>
      <c r="B31" s="110">
        <v>5232</v>
      </c>
      <c r="C31" s="83">
        <v>57517.71</v>
      </c>
      <c r="D31" s="83">
        <v>165124</v>
      </c>
      <c r="E31" s="83">
        <v>355</v>
      </c>
      <c r="F31" s="110">
        <v>1294</v>
      </c>
      <c r="G31" s="84">
        <v>633</v>
      </c>
      <c r="H31" s="84"/>
      <c r="I31" s="128">
        <v>3960</v>
      </c>
      <c r="J31" s="129">
        <v>166.84521414699597</v>
      </c>
      <c r="K31" s="130">
        <v>7749</v>
      </c>
      <c r="L31" s="131">
        <v>498.87287100000003</v>
      </c>
      <c r="M31" s="86">
        <v>2601468.2000000002</v>
      </c>
      <c r="N31" s="120"/>
      <c r="O31" s="121"/>
      <c r="P31" s="109"/>
      <c r="Q31" s="109"/>
      <c r="R31" s="124"/>
      <c r="S31" s="124"/>
    </row>
    <row r="32" spans="1:19" ht="20.100000000000001" hidden="1" customHeight="1" x14ac:dyDescent="0.25">
      <c r="A32" s="89">
        <v>42217</v>
      </c>
      <c r="B32" s="110">
        <v>5395</v>
      </c>
      <c r="C32" s="83">
        <v>59427.19</v>
      </c>
      <c r="D32" s="83">
        <v>170490</v>
      </c>
      <c r="E32" s="83">
        <v>367</v>
      </c>
      <c r="F32" s="110">
        <v>1399</v>
      </c>
      <c r="G32" s="84">
        <v>658</v>
      </c>
      <c r="H32" s="84"/>
      <c r="I32" s="128">
        <v>3000</v>
      </c>
      <c r="J32" s="129">
        <v>113.0103895053</v>
      </c>
      <c r="K32" s="130">
        <v>5366</v>
      </c>
      <c r="L32" s="131">
        <v>345.45771400000001</v>
      </c>
      <c r="M32" s="86">
        <v>2603757.6</v>
      </c>
      <c r="N32" s="120"/>
      <c r="O32" s="121"/>
      <c r="P32" s="109"/>
      <c r="Q32" s="109"/>
      <c r="R32" s="124"/>
      <c r="S32" s="124"/>
    </row>
    <row r="33" spans="1:19" ht="20.100000000000001" hidden="1" customHeight="1" x14ac:dyDescent="0.25">
      <c r="A33" s="89">
        <v>42248</v>
      </c>
      <c r="B33" s="110">
        <v>5467</v>
      </c>
      <c r="C33" s="83">
        <v>60069.46</v>
      </c>
      <c r="D33" s="83">
        <v>172269</v>
      </c>
      <c r="E33" s="83">
        <v>374</v>
      </c>
      <c r="F33" s="110">
        <v>1451</v>
      </c>
      <c r="G33" s="84">
        <v>669</v>
      </c>
      <c r="H33" s="84"/>
      <c r="I33" s="128">
        <v>1320</v>
      </c>
      <c r="J33" s="129">
        <v>49.724571382332009</v>
      </c>
      <c r="K33" s="130">
        <v>1779</v>
      </c>
      <c r="L33" s="131">
        <v>114.530241</v>
      </c>
      <c r="M33" s="86">
        <v>2605297.7000000002</v>
      </c>
      <c r="N33" s="120"/>
      <c r="O33" s="121"/>
      <c r="P33" s="109"/>
      <c r="Q33" s="109"/>
      <c r="R33" s="124"/>
      <c r="S33" s="124"/>
    </row>
    <row r="34" spans="1:19" ht="20.100000000000001" hidden="1" customHeight="1" x14ac:dyDescent="0.2">
      <c r="A34" s="89">
        <v>42278</v>
      </c>
      <c r="B34" s="84">
        <v>5918</v>
      </c>
      <c r="C34" s="86">
        <v>64911.8</v>
      </c>
      <c r="D34" s="84">
        <v>186093</v>
      </c>
      <c r="E34" s="86">
        <v>404</v>
      </c>
      <c r="F34" s="86">
        <v>1567</v>
      </c>
      <c r="G34" s="86">
        <v>726</v>
      </c>
      <c r="H34" s="86"/>
      <c r="I34" s="145">
        <v>6840</v>
      </c>
      <c r="J34" s="145">
        <v>257.66368807208403</v>
      </c>
      <c r="K34" s="145">
        <v>13824</v>
      </c>
      <c r="L34" s="145">
        <v>889.97529600000007</v>
      </c>
      <c r="M34" s="86">
        <v>2610168.7000000002</v>
      </c>
      <c r="N34" s="120"/>
      <c r="O34" s="121"/>
      <c r="P34" s="109"/>
      <c r="Q34" s="109"/>
      <c r="R34" s="124"/>
      <c r="S34" s="124"/>
    </row>
    <row r="35" spans="1:19" ht="20.100000000000001" hidden="1" customHeight="1" x14ac:dyDescent="0.2">
      <c r="A35" s="89">
        <v>42309</v>
      </c>
      <c r="B35" s="84">
        <v>6555</v>
      </c>
      <c r="C35" s="86">
        <v>72293.539999999994</v>
      </c>
      <c r="D35" s="84">
        <v>207520</v>
      </c>
      <c r="E35" s="86">
        <v>450.62</v>
      </c>
      <c r="F35" s="86">
        <v>1622</v>
      </c>
      <c r="G35" s="86">
        <v>790</v>
      </c>
      <c r="H35" s="86"/>
      <c r="I35" s="145">
        <v>7680</v>
      </c>
      <c r="J35" s="145">
        <v>330.34160513356807</v>
      </c>
      <c r="K35" s="145">
        <v>21427</v>
      </c>
      <c r="L35" s="145">
        <v>1379.4488330000001</v>
      </c>
      <c r="M35" s="86">
        <v>2618174.2000000002</v>
      </c>
      <c r="N35" s="118"/>
      <c r="O35" s="119"/>
      <c r="P35" s="107"/>
      <c r="Q35" s="107"/>
      <c r="R35" s="124"/>
      <c r="S35" s="124"/>
    </row>
    <row r="36" spans="1:19" ht="20.100000000000001" hidden="1" customHeight="1" x14ac:dyDescent="0.2">
      <c r="A36" s="89">
        <v>42339</v>
      </c>
      <c r="B36" s="84">
        <v>7161.4335406288501</v>
      </c>
      <c r="C36" s="86">
        <v>79040.38</v>
      </c>
      <c r="D36" s="84">
        <v>227056</v>
      </c>
      <c r="E36" s="86">
        <v>493.16</v>
      </c>
      <c r="F36" s="86">
        <v>1741.8104133118627</v>
      </c>
      <c r="G36" s="86">
        <v>842.9</v>
      </c>
      <c r="H36" s="86"/>
      <c r="I36" s="145">
        <v>6347.9999999999973</v>
      </c>
      <c r="J36" s="145">
        <v>273.0479829932147</v>
      </c>
      <c r="K36" s="145">
        <v>19536</v>
      </c>
      <c r="L36" s="145">
        <v>1257.7081439999999</v>
      </c>
      <c r="M36" s="86">
        <v>2626970.1</v>
      </c>
      <c r="N36" s="118"/>
      <c r="O36" s="119"/>
      <c r="P36" s="107"/>
      <c r="Q36" s="107"/>
      <c r="R36" s="124"/>
      <c r="S36" s="124"/>
    </row>
    <row r="37" spans="1:19" ht="20.100000000000001" hidden="1" customHeight="1" thickBot="1" x14ac:dyDescent="0.25">
      <c r="A37" s="91">
        <v>42370</v>
      </c>
      <c r="B37" s="98">
        <v>8065.8455833199423</v>
      </c>
      <c r="C37" s="146">
        <v>89022.33</v>
      </c>
      <c r="D37" s="98">
        <v>256123</v>
      </c>
      <c r="E37" s="146">
        <v>555.82000000000005</v>
      </c>
      <c r="F37" s="146">
        <v>1963.1216317767046</v>
      </c>
      <c r="G37" s="146">
        <v>988</v>
      </c>
      <c r="H37" s="146"/>
      <c r="I37" s="147">
        <v>17412.000000000004</v>
      </c>
      <c r="J37" s="147">
        <v>748.94635788876133</v>
      </c>
      <c r="K37" s="147">
        <v>29067</v>
      </c>
      <c r="L37" s="147">
        <v>1871.3043930000001</v>
      </c>
      <c r="M37" s="146">
        <v>2640719.2000000002</v>
      </c>
      <c r="N37" s="122">
        <v>906942</v>
      </c>
      <c r="O37" s="125">
        <v>50063.44</v>
      </c>
      <c r="P37" s="108"/>
      <c r="Q37" s="108"/>
      <c r="R37" s="126">
        <v>63620</v>
      </c>
      <c r="S37" s="127">
        <v>24815.39</v>
      </c>
    </row>
    <row r="38" spans="1:19" ht="20.100000000000001" hidden="1" customHeight="1" x14ac:dyDescent="0.2">
      <c r="A38" s="89">
        <v>42402</v>
      </c>
      <c r="B38" s="84">
        <f t="shared" ref="B38:B39" si="0">+$B$52/$C$52*C38</f>
        <v>8295.2252005219052</v>
      </c>
      <c r="C38" s="142">
        <v>95099.4</v>
      </c>
      <c r="D38" s="148">
        <v>273880</v>
      </c>
      <c r="E38" s="142">
        <v>594.13</v>
      </c>
      <c r="F38" s="143"/>
      <c r="G38" s="143">
        <v>1009.5</v>
      </c>
      <c r="H38" s="143"/>
      <c r="I38" s="144"/>
      <c r="J38" s="144"/>
      <c r="K38" s="144"/>
      <c r="L38" s="144"/>
      <c r="M38" s="143">
        <v>2650552.4</v>
      </c>
      <c r="N38" s="82"/>
      <c r="O38" s="135"/>
      <c r="P38" s="106"/>
      <c r="Q38" s="106"/>
      <c r="R38" s="12"/>
      <c r="S38" s="132"/>
    </row>
    <row r="39" spans="1:19" ht="20.100000000000001" hidden="1" customHeight="1" x14ac:dyDescent="0.2">
      <c r="A39" s="89">
        <v>42430</v>
      </c>
      <c r="B39" s="84">
        <f t="shared" si="0"/>
        <v>8979.4503956118224</v>
      </c>
      <c r="C39" s="86">
        <v>102943.6</v>
      </c>
      <c r="D39" s="84">
        <v>296514</v>
      </c>
      <c r="E39" s="86">
        <v>643.08000000000004</v>
      </c>
      <c r="F39" s="86"/>
      <c r="G39" s="86">
        <v>1072.5</v>
      </c>
      <c r="H39" s="86"/>
      <c r="I39" s="145"/>
      <c r="J39" s="145"/>
      <c r="K39" s="145"/>
      <c r="L39" s="145"/>
      <c r="M39" s="86">
        <v>2661835.2999999998</v>
      </c>
      <c r="N39" s="85"/>
      <c r="O39" s="136"/>
      <c r="P39" s="107"/>
      <c r="Q39" s="107"/>
      <c r="R39" s="4"/>
      <c r="S39" s="133"/>
    </row>
    <row r="40" spans="1:19" ht="20.100000000000001" hidden="1" customHeight="1" x14ac:dyDescent="0.2">
      <c r="A40" s="89">
        <v>42461</v>
      </c>
      <c r="B40" s="84">
        <f>+$B$52/$C$52*C40</f>
        <v>9728.5322748195758</v>
      </c>
      <c r="C40" s="86">
        <v>111531.34</v>
      </c>
      <c r="D40" s="84">
        <v>321376</v>
      </c>
      <c r="E40" s="86">
        <v>696.76</v>
      </c>
      <c r="F40" s="86"/>
      <c r="G40" s="86">
        <v>1156</v>
      </c>
      <c r="H40" s="86"/>
      <c r="I40" s="145"/>
      <c r="J40" s="145"/>
      <c r="K40" s="145"/>
      <c r="L40" s="145"/>
      <c r="M40" s="86">
        <v>2672823.1</v>
      </c>
      <c r="N40" s="85"/>
      <c r="O40" s="136"/>
      <c r="P40" s="107"/>
      <c r="Q40" s="107"/>
      <c r="R40" s="4"/>
      <c r="S40" s="133"/>
    </row>
    <row r="41" spans="1:19" ht="20.100000000000001" hidden="1" customHeight="1" x14ac:dyDescent="0.2">
      <c r="A41" s="89">
        <v>42491</v>
      </c>
      <c r="B41" s="84">
        <f t="shared" ref="B41:B50" si="1">+$B$52/$C$52*C41</f>
        <v>10401.370871280309</v>
      </c>
      <c r="C41" s="86">
        <v>119245</v>
      </c>
      <c r="D41" s="84">
        <v>342701</v>
      </c>
      <c r="E41" s="86">
        <v>744.54</v>
      </c>
      <c r="F41" s="86"/>
      <c r="G41" s="86">
        <v>1219</v>
      </c>
      <c r="H41" s="86"/>
      <c r="I41" s="145"/>
      <c r="J41" s="145"/>
      <c r="K41" s="145"/>
      <c r="L41" s="145"/>
      <c r="M41" s="86">
        <v>2680927.7000000002</v>
      </c>
      <c r="N41" s="85"/>
      <c r="O41" s="136"/>
      <c r="P41" s="107"/>
      <c r="Q41" s="107"/>
      <c r="R41" s="4"/>
      <c r="S41" s="133"/>
    </row>
    <row r="42" spans="1:19" ht="20.100000000000001" hidden="1" customHeight="1" x14ac:dyDescent="0.2">
      <c r="A42" s="89">
        <v>42522</v>
      </c>
      <c r="B42" s="84">
        <f t="shared" si="1"/>
        <v>10815.646277511671</v>
      </c>
      <c r="C42" s="86">
        <v>123994.4</v>
      </c>
      <c r="D42" s="84">
        <v>353987</v>
      </c>
      <c r="E42" s="86">
        <v>770.08</v>
      </c>
      <c r="F42" s="86"/>
      <c r="G42" s="86">
        <v>1263</v>
      </c>
      <c r="H42" s="86"/>
      <c r="I42" s="145"/>
      <c r="J42" s="145"/>
      <c r="K42" s="145"/>
      <c r="L42" s="145"/>
      <c r="M42" s="86">
        <v>2685900.2</v>
      </c>
      <c r="N42" s="85"/>
      <c r="O42" s="136"/>
      <c r="P42" s="107"/>
      <c r="Q42" s="107"/>
      <c r="R42" s="4"/>
      <c r="S42" s="133"/>
    </row>
    <row r="43" spans="1:19" ht="20.100000000000001" hidden="1" customHeight="1" x14ac:dyDescent="0.2">
      <c r="A43" s="89">
        <v>42552</v>
      </c>
      <c r="B43" s="84">
        <f t="shared" si="1"/>
        <v>11069.319528112179</v>
      </c>
      <c r="C43" s="86">
        <v>126902.6</v>
      </c>
      <c r="D43" s="84">
        <v>361925</v>
      </c>
      <c r="E43" s="86">
        <v>786.6</v>
      </c>
      <c r="F43" s="86"/>
      <c r="G43" s="86">
        <v>1286</v>
      </c>
      <c r="H43" s="86"/>
      <c r="I43" s="145"/>
      <c r="J43" s="145"/>
      <c r="K43" s="145"/>
      <c r="L43" s="145"/>
      <c r="M43" s="86">
        <v>2689055.5</v>
      </c>
      <c r="N43" s="85"/>
      <c r="O43" s="136"/>
      <c r="P43" s="107"/>
      <c r="Q43" s="107"/>
      <c r="R43" s="4"/>
      <c r="S43" s="133"/>
    </row>
    <row r="44" spans="1:19" ht="20.100000000000001" hidden="1" customHeight="1" x14ac:dyDescent="0.2">
      <c r="A44" s="89">
        <v>42583</v>
      </c>
      <c r="B44" s="84">
        <f t="shared" si="1"/>
        <v>11392.9487470029</v>
      </c>
      <c r="C44" s="86">
        <v>130612.8</v>
      </c>
      <c r="D44" s="84">
        <v>372250</v>
      </c>
      <c r="E44" s="86">
        <v>807.87</v>
      </c>
      <c r="F44" s="86"/>
      <c r="G44" s="86">
        <v>1325.2</v>
      </c>
      <c r="H44" s="86"/>
      <c r="I44" s="145"/>
      <c r="J44" s="145"/>
      <c r="K44" s="145"/>
      <c r="L44" s="145"/>
      <c r="M44" s="86">
        <v>2692781.6</v>
      </c>
      <c r="N44" s="85"/>
      <c r="O44" s="136"/>
      <c r="P44" s="107"/>
      <c r="Q44" s="107"/>
      <c r="R44" s="4"/>
      <c r="S44" s="133"/>
    </row>
    <row r="45" spans="1:19" ht="20.100000000000001" hidden="1" customHeight="1" x14ac:dyDescent="0.2">
      <c r="A45" s="89">
        <v>42614</v>
      </c>
      <c r="B45" s="84">
        <f t="shared" si="1"/>
        <v>11528.037036393247</v>
      </c>
      <c r="C45" s="86">
        <v>132161.5</v>
      </c>
      <c r="D45" s="84">
        <v>376572</v>
      </c>
      <c r="E45" s="86">
        <v>816.75</v>
      </c>
      <c r="F45" s="86"/>
      <c r="G45" s="86">
        <v>1351.8</v>
      </c>
      <c r="H45" s="86"/>
      <c r="I45" s="145"/>
      <c r="J45" s="145"/>
      <c r="K45" s="145"/>
      <c r="L45" s="145"/>
      <c r="M45" s="86">
        <v>2694316.9</v>
      </c>
      <c r="N45" s="85"/>
      <c r="O45" s="136"/>
      <c r="P45" s="107"/>
      <c r="Q45" s="107"/>
      <c r="R45" s="4"/>
      <c r="S45" s="133"/>
    </row>
    <row r="46" spans="1:19" ht="20.100000000000001" hidden="1" customHeight="1" x14ac:dyDescent="0.2">
      <c r="A46" s="89">
        <v>42644</v>
      </c>
      <c r="B46" s="84">
        <f t="shared" si="1"/>
        <v>11933.624644068865</v>
      </c>
      <c r="C46" s="86">
        <v>136811.29999999999</v>
      </c>
      <c r="D46" s="84">
        <v>389600</v>
      </c>
      <c r="E46" s="86">
        <v>844.21</v>
      </c>
      <c r="F46" s="86"/>
      <c r="G46" s="86">
        <v>1399</v>
      </c>
      <c r="H46" s="86"/>
      <c r="I46" s="145"/>
      <c r="J46" s="145"/>
      <c r="K46" s="145"/>
      <c r="L46" s="145"/>
      <c r="M46" s="86">
        <v>2698948.3</v>
      </c>
      <c r="N46" s="85"/>
      <c r="O46" s="136"/>
      <c r="P46" s="107"/>
      <c r="Q46" s="107"/>
      <c r="R46" s="4"/>
      <c r="S46" s="133"/>
    </row>
    <row r="47" spans="1:19" ht="20.100000000000001" hidden="1" customHeight="1" x14ac:dyDescent="0.2">
      <c r="A47" s="89">
        <v>42675</v>
      </c>
      <c r="B47" s="84">
        <f t="shared" si="1"/>
        <v>12543.270845532677</v>
      </c>
      <c r="C47" s="86">
        <v>143800.5</v>
      </c>
      <c r="D47" s="84">
        <v>409373</v>
      </c>
      <c r="E47" s="86">
        <v>886.54</v>
      </c>
      <c r="F47" s="86"/>
      <c r="G47" s="86">
        <v>1460</v>
      </c>
      <c r="H47" s="86"/>
      <c r="I47" s="145"/>
      <c r="J47" s="145"/>
      <c r="K47" s="145"/>
      <c r="L47" s="145"/>
      <c r="M47" s="86">
        <v>2706188.4</v>
      </c>
      <c r="N47" s="85"/>
      <c r="O47" s="136"/>
      <c r="P47" s="107"/>
      <c r="Q47" s="107"/>
      <c r="R47" s="4"/>
      <c r="S47" s="133"/>
    </row>
    <row r="48" spans="1:19" ht="20.100000000000001" hidden="1" customHeight="1" x14ac:dyDescent="0.2">
      <c r="A48" s="89">
        <v>42705</v>
      </c>
      <c r="B48" s="84">
        <f t="shared" si="1"/>
        <v>13263.771960937474</v>
      </c>
      <c r="C48" s="86">
        <v>152060.57999999999</v>
      </c>
      <c r="D48" s="84">
        <v>432226</v>
      </c>
      <c r="E48" s="86">
        <v>935.28</v>
      </c>
      <c r="F48" s="86"/>
      <c r="G48" s="86">
        <v>1520</v>
      </c>
      <c r="H48" s="86"/>
      <c r="I48" s="145"/>
      <c r="J48" s="145"/>
      <c r="K48" s="145"/>
      <c r="L48" s="145"/>
      <c r="M48" s="86">
        <v>2719395.6</v>
      </c>
      <c r="N48" s="85"/>
      <c r="O48" s="136"/>
      <c r="P48" s="107"/>
      <c r="Q48" s="107"/>
      <c r="R48" s="4"/>
      <c r="S48" s="133"/>
    </row>
    <row r="49" spans="1:19" ht="20.100000000000001" hidden="1" customHeight="1" thickBot="1" x14ac:dyDescent="0.25">
      <c r="A49" s="91">
        <v>42736</v>
      </c>
      <c r="B49" s="98">
        <f t="shared" si="1"/>
        <v>14260.44127041206</v>
      </c>
      <c r="C49" s="146">
        <v>163486.75</v>
      </c>
      <c r="D49" s="98">
        <v>463790</v>
      </c>
      <c r="E49" s="146">
        <v>1002.14</v>
      </c>
      <c r="F49" s="146"/>
      <c r="G49" s="146">
        <v>1635.8</v>
      </c>
      <c r="H49" s="146"/>
      <c r="I49" s="147"/>
      <c r="J49" s="147"/>
      <c r="K49" s="147"/>
      <c r="L49" s="147"/>
      <c r="M49" s="146">
        <v>2735689.3</v>
      </c>
      <c r="N49" s="101"/>
      <c r="O49" s="137"/>
      <c r="P49" s="108"/>
      <c r="Q49" s="108"/>
      <c r="R49" s="102"/>
      <c r="S49" s="134"/>
    </row>
    <row r="50" spans="1:19" ht="20.100000000000001" hidden="1" customHeight="1" x14ac:dyDescent="0.2">
      <c r="A50" s="89">
        <v>42767</v>
      </c>
      <c r="B50" s="90">
        <f t="shared" si="1"/>
        <v>14797.17887325321</v>
      </c>
      <c r="C50" s="143">
        <v>169640.1</v>
      </c>
      <c r="D50" s="90">
        <v>481520</v>
      </c>
      <c r="E50" s="143">
        <v>1040.5</v>
      </c>
      <c r="F50" s="143"/>
      <c r="G50" s="143">
        <v>1680.1</v>
      </c>
      <c r="H50" s="143"/>
      <c r="I50" s="144"/>
      <c r="J50" s="144"/>
      <c r="K50" s="144"/>
      <c r="L50" s="144"/>
      <c r="M50" s="143">
        <v>2747740.5</v>
      </c>
      <c r="N50" s="138">
        <v>1036057</v>
      </c>
      <c r="O50" s="139">
        <v>57361.99</v>
      </c>
      <c r="P50" s="106"/>
      <c r="Q50" s="106"/>
      <c r="R50" s="141">
        <v>93908</v>
      </c>
      <c r="S50" s="140">
        <v>26457</v>
      </c>
    </row>
    <row r="51" spans="1:19" ht="20.100000000000001" hidden="1" customHeight="1" x14ac:dyDescent="0.2">
      <c r="A51" s="89">
        <v>42795</v>
      </c>
      <c r="B51" s="84">
        <f>+$B$52/$C$52*C51</f>
        <v>15463.252151882783</v>
      </c>
      <c r="C51" s="86">
        <v>177276.2</v>
      </c>
      <c r="D51" s="84">
        <v>503217</v>
      </c>
      <c r="E51" s="86">
        <v>1087.7</v>
      </c>
      <c r="F51" s="86"/>
      <c r="G51" s="86">
        <v>1750</v>
      </c>
      <c r="H51" s="86"/>
      <c r="I51" s="145"/>
      <c r="J51" s="145"/>
      <c r="K51" s="145"/>
      <c r="L51" s="145"/>
      <c r="M51" s="86">
        <v>2760193</v>
      </c>
      <c r="N51" s="85"/>
      <c r="O51" s="136"/>
      <c r="P51" s="107"/>
      <c r="Q51" s="107"/>
      <c r="R51" s="4"/>
      <c r="S51" s="133"/>
    </row>
    <row r="52" spans="1:19" ht="20.100000000000001" hidden="1" customHeight="1" x14ac:dyDescent="0.2">
      <c r="A52" s="89">
        <v>42826</v>
      </c>
      <c r="B52" s="84">
        <v>16058</v>
      </c>
      <c r="C52" s="86">
        <v>184094.6</v>
      </c>
      <c r="D52" s="84">
        <v>522577</v>
      </c>
      <c r="E52" s="86">
        <v>1130.06</v>
      </c>
      <c r="F52" s="86"/>
      <c r="G52" s="86">
        <v>1802.6</v>
      </c>
      <c r="H52" s="86"/>
      <c r="I52" s="145"/>
      <c r="J52" s="145"/>
      <c r="K52" s="145"/>
      <c r="L52" s="145"/>
      <c r="M52" s="86">
        <v>2767825.5</v>
      </c>
      <c r="N52" s="85"/>
      <c r="O52" s="136"/>
      <c r="P52" s="107"/>
      <c r="Q52" s="107"/>
      <c r="R52" s="4"/>
      <c r="S52" s="133"/>
    </row>
    <row r="53" spans="1:19" ht="20.100000000000001" hidden="1" customHeight="1" x14ac:dyDescent="0.2">
      <c r="A53" s="89">
        <v>42856</v>
      </c>
      <c r="B53" s="84">
        <v>16650</v>
      </c>
      <c r="C53" s="86">
        <v>190643.7</v>
      </c>
      <c r="D53" s="84">
        <v>541399</v>
      </c>
      <c r="E53" s="86">
        <v>1170.74</v>
      </c>
      <c r="F53" s="86"/>
      <c r="G53" s="86">
        <v>1880</v>
      </c>
      <c r="H53" s="86"/>
      <c r="I53" s="145"/>
      <c r="J53" s="145"/>
      <c r="K53" s="145"/>
      <c r="L53" s="145"/>
      <c r="M53" s="86">
        <v>2774730.9</v>
      </c>
      <c r="N53" s="85"/>
      <c r="O53" s="136"/>
      <c r="P53" s="107"/>
      <c r="Q53" s="107"/>
      <c r="R53" s="4"/>
      <c r="S53" s="133"/>
    </row>
    <row r="54" spans="1:19" ht="20.100000000000001" hidden="1" customHeight="1" x14ac:dyDescent="0.2">
      <c r="A54" s="89">
        <v>42887</v>
      </c>
      <c r="B54" s="84">
        <v>17057</v>
      </c>
      <c r="C54" s="86">
        <v>195167.67</v>
      </c>
      <c r="D54" s="84">
        <v>554237</v>
      </c>
      <c r="E54" s="86">
        <v>1198.54</v>
      </c>
      <c r="F54" s="86"/>
      <c r="G54" s="86">
        <v>1921.3</v>
      </c>
      <c r="H54" s="86"/>
      <c r="I54" s="145"/>
      <c r="J54" s="145"/>
      <c r="K54" s="145"/>
      <c r="L54" s="145"/>
      <c r="M54" s="86">
        <v>2779241.3</v>
      </c>
      <c r="N54" s="85"/>
      <c r="O54" s="136"/>
      <c r="P54" s="107"/>
      <c r="Q54" s="107"/>
      <c r="R54" s="4"/>
      <c r="S54" s="133"/>
    </row>
    <row r="55" spans="1:19" ht="20.100000000000001" hidden="1" customHeight="1" x14ac:dyDescent="0.2">
      <c r="A55" s="89">
        <v>42917</v>
      </c>
      <c r="B55" s="84">
        <v>17269</v>
      </c>
      <c r="C55" s="86">
        <v>197847.51</v>
      </c>
      <c r="D55" s="84">
        <v>561826</v>
      </c>
      <c r="E55" s="86">
        <v>1214.5899999999999</v>
      </c>
      <c r="F55" s="86"/>
      <c r="G55" s="86">
        <v>1956.2</v>
      </c>
      <c r="H55" s="86"/>
      <c r="I55" s="145"/>
      <c r="J55" s="145"/>
      <c r="K55" s="145"/>
      <c r="L55" s="145"/>
      <c r="M55" s="86">
        <v>2781920</v>
      </c>
      <c r="N55" s="85"/>
      <c r="O55" s="136"/>
      <c r="P55" s="107"/>
      <c r="Q55" s="107"/>
      <c r="R55" s="4"/>
      <c r="S55" s="133"/>
    </row>
    <row r="56" spans="1:19" ht="20.100000000000001" hidden="1" customHeight="1" x14ac:dyDescent="0.2">
      <c r="A56" s="89">
        <v>42948</v>
      </c>
      <c r="B56" s="84">
        <v>17446</v>
      </c>
      <c r="C56" s="86">
        <v>199416.07</v>
      </c>
      <c r="D56" s="84">
        <v>566234</v>
      </c>
      <c r="E56" s="86">
        <v>1223.95</v>
      </c>
      <c r="F56" s="86"/>
      <c r="G56" s="86">
        <v>1971.7</v>
      </c>
      <c r="H56" s="86"/>
      <c r="I56" s="145"/>
      <c r="J56" s="145"/>
      <c r="K56" s="145"/>
      <c r="L56" s="145"/>
      <c r="M56" s="86">
        <v>2783594.5</v>
      </c>
      <c r="N56" s="85"/>
      <c r="O56" s="136"/>
      <c r="P56" s="107"/>
      <c r="Q56" s="107"/>
      <c r="R56" s="4"/>
      <c r="S56" s="133"/>
    </row>
    <row r="57" spans="1:19" ht="20.100000000000001" hidden="1" customHeight="1" x14ac:dyDescent="0.2">
      <c r="A57" s="89">
        <v>42979</v>
      </c>
      <c r="B57" s="84">
        <v>17589</v>
      </c>
      <c r="C57" s="86">
        <v>201417.9</v>
      </c>
      <c r="D57" s="84">
        <v>571853</v>
      </c>
      <c r="E57" s="86">
        <v>1235.74</v>
      </c>
      <c r="F57" s="86"/>
      <c r="G57" s="86">
        <v>1998.7</v>
      </c>
      <c r="H57" s="86"/>
      <c r="I57" s="145"/>
      <c r="J57" s="145"/>
      <c r="K57" s="145"/>
      <c r="L57" s="145"/>
      <c r="M57" s="86">
        <v>2786158</v>
      </c>
      <c r="N57" s="85"/>
      <c r="O57" s="136"/>
      <c r="P57" s="107"/>
      <c r="Q57" s="107"/>
      <c r="R57" s="4"/>
      <c r="S57" s="133"/>
    </row>
    <row r="58" spans="1:19" ht="20.100000000000001" hidden="1" customHeight="1" x14ac:dyDescent="0.2">
      <c r="A58" s="89">
        <v>43009</v>
      </c>
      <c r="B58" s="84">
        <v>17991</v>
      </c>
      <c r="C58" s="86">
        <v>207646.48</v>
      </c>
      <c r="D58" s="84">
        <v>589160</v>
      </c>
      <c r="E58" s="86">
        <v>1274.1300000000001</v>
      </c>
      <c r="F58" s="86"/>
      <c r="G58" s="86">
        <v>2055.1</v>
      </c>
      <c r="H58" s="86"/>
      <c r="I58" s="145"/>
      <c r="J58" s="145"/>
      <c r="K58" s="145"/>
      <c r="L58" s="145"/>
      <c r="M58" s="86">
        <v>2792582.8</v>
      </c>
      <c r="N58" s="85"/>
      <c r="O58" s="136"/>
      <c r="P58" s="107"/>
      <c r="Q58" s="107"/>
      <c r="R58" s="4"/>
      <c r="S58" s="133"/>
    </row>
    <row r="59" spans="1:19" ht="20.100000000000001" hidden="1" customHeight="1" x14ac:dyDescent="0.2">
      <c r="A59" s="89">
        <v>43041</v>
      </c>
      <c r="B59" s="84">
        <v>18608</v>
      </c>
      <c r="C59" s="86">
        <v>212822.7</v>
      </c>
      <c r="D59" s="84">
        <v>603798</v>
      </c>
      <c r="E59" s="86">
        <v>1306.26</v>
      </c>
      <c r="F59" s="86"/>
      <c r="G59" s="86">
        <v>2098.8000000000002</v>
      </c>
      <c r="H59" s="86"/>
      <c r="I59" s="145"/>
      <c r="J59" s="145"/>
      <c r="K59" s="145"/>
      <c r="L59" s="145"/>
      <c r="M59" s="86">
        <v>2797836.3</v>
      </c>
      <c r="N59" s="85"/>
      <c r="O59" s="136"/>
      <c r="P59" s="107"/>
      <c r="Q59" s="107"/>
      <c r="R59" s="4"/>
      <c r="S59" s="133"/>
    </row>
    <row r="60" spans="1:19" ht="20.100000000000001" hidden="1" customHeight="1" x14ac:dyDescent="0.2">
      <c r="A60" s="89">
        <v>43070</v>
      </c>
      <c r="B60" s="84">
        <v>19295</v>
      </c>
      <c r="C60" s="86">
        <v>220685.2</v>
      </c>
      <c r="D60" s="84">
        <v>626297</v>
      </c>
      <c r="E60" s="86">
        <v>1355.3</v>
      </c>
      <c r="F60" s="86"/>
      <c r="G60" s="86">
        <v>2160.1999999999998</v>
      </c>
      <c r="H60" s="86"/>
      <c r="I60" s="145"/>
      <c r="J60" s="145"/>
      <c r="K60" s="145"/>
      <c r="L60" s="145"/>
      <c r="M60" s="86">
        <v>2808347.9</v>
      </c>
      <c r="N60" s="85"/>
      <c r="O60" s="136"/>
      <c r="P60" s="107"/>
      <c r="Q60" s="107"/>
      <c r="R60" s="4"/>
      <c r="S60" s="133"/>
    </row>
    <row r="61" spans="1:19" ht="20.100000000000001" hidden="1" customHeight="1" thickBot="1" x14ac:dyDescent="0.25">
      <c r="A61" s="91">
        <v>43108</v>
      </c>
      <c r="B61" s="98">
        <v>20190</v>
      </c>
      <c r="C61" s="146">
        <v>231741.8</v>
      </c>
      <c r="D61" s="98">
        <v>657804</v>
      </c>
      <c r="E61" s="146">
        <v>1423.77</v>
      </c>
      <c r="F61" s="146"/>
      <c r="G61" s="146">
        <v>2280.6</v>
      </c>
      <c r="H61" s="146"/>
      <c r="I61" s="147"/>
      <c r="J61" s="147"/>
      <c r="K61" s="147"/>
      <c r="L61" s="147"/>
      <c r="M61" s="146">
        <v>2824187</v>
      </c>
      <c r="N61" s="101"/>
      <c r="O61" s="137"/>
      <c r="P61" s="108"/>
      <c r="Q61" s="108"/>
      <c r="R61" s="102"/>
      <c r="S61" s="134"/>
    </row>
    <row r="62" spans="1:19" ht="20.100000000000001" hidden="1" customHeight="1" x14ac:dyDescent="0.2">
      <c r="A62" s="89">
        <v>43132</v>
      </c>
      <c r="B62" s="90">
        <v>20777</v>
      </c>
      <c r="C62" s="143">
        <v>238377.8</v>
      </c>
      <c r="D62" s="90">
        <v>676859</v>
      </c>
      <c r="E62" s="143">
        <v>1464.81</v>
      </c>
      <c r="F62" s="143"/>
      <c r="G62" s="143">
        <v>2329.6999999999998</v>
      </c>
      <c r="H62" s="143"/>
      <c r="I62" s="144"/>
      <c r="J62" s="144"/>
      <c r="K62" s="144"/>
      <c r="L62" s="144"/>
      <c r="M62" s="143">
        <v>2833779</v>
      </c>
    </row>
    <row r="63" spans="1:19" ht="20.100000000000001" hidden="1" customHeight="1" x14ac:dyDescent="0.2">
      <c r="A63" s="89">
        <v>43160</v>
      </c>
      <c r="B63" s="84">
        <v>21419</v>
      </c>
      <c r="C63" s="86">
        <v>246071.9</v>
      </c>
      <c r="D63" s="84">
        <v>698940</v>
      </c>
      <c r="E63" s="86">
        <v>1512.3</v>
      </c>
      <c r="F63" s="86"/>
      <c r="G63" s="86">
        <v>2400.1999999999998</v>
      </c>
      <c r="H63" s="86"/>
      <c r="I63" s="145"/>
      <c r="J63" s="145"/>
      <c r="K63" s="145"/>
      <c r="L63" s="145"/>
      <c r="M63" s="86">
        <v>2847096.3</v>
      </c>
      <c r="N63" s="85"/>
      <c r="O63" s="136"/>
      <c r="P63" s="107"/>
      <c r="Q63" s="107"/>
      <c r="R63" s="4"/>
      <c r="S63" s="133"/>
    </row>
    <row r="64" spans="1:19" ht="20.100000000000001" hidden="1" customHeight="1" x14ac:dyDescent="0.2">
      <c r="A64" s="89">
        <v>43193</v>
      </c>
      <c r="B64" s="84">
        <v>22193</v>
      </c>
      <c r="C64" s="86">
        <v>254672.95</v>
      </c>
      <c r="D64" s="84">
        <v>722461</v>
      </c>
      <c r="E64" s="86">
        <v>1563.7</v>
      </c>
      <c r="F64" s="86"/>
      <c r="G64" s="86">
        <v>2477.8000000000002</v>
      </c>
      <c r="H64" s="86"/>
      <c r="I64" s="145"/>
      <c r="J64" s="145"/>
      <c r="K64" s="145"/>
      <c r="L64" s="145"/>
      <c r="M64" s="86">
        <v>2858403.6</v>
      </c>
      <c r="N64" s="85"/>
      <c r="O64" s="136"/>
      <c r="P64" s="107"/>
      <c r="Q64" s="107"/>
      <c r="R64" s="4"/>
      <c r="S64" s="133"/>
    </row>
    <row r="65" spans="1:19" ht="20.100000000000001" hidden="1" customHeight="1" x14ac:dyDescent="0.2">
      <c r="A65" s="151">
        <v>43221</v>
      </c>
      <c r="B65" s="84">
        <v>22482.9</v>
      </c>
      <c r="C65" s="86">
        <v>257359.7</v>
      </c>
      <c r="D65" s="86">
        <v>729343</v>
      </c>
      <c r="E65" s="86">
        <v>1580.47</v>
      </c>
      <c r="F65" s="86"/>
      <c r="G65" s="86">
        <v>2498.4</v>
      </c>
      <c r="H65" s="86"/>
      <c r="I65" s="86"/>
      <c r="J65" s="86"/>
      <c r="K65" s="86"/>
      <c r="L65" s="86"/>
      <c r="M65" s="86">
        <v>2861526.3</v>
      </c>
      <c r="N65" s="4"/>
      <c r="O65" s="4"/>
      <c r="P65" s="4"/>
      <c r="Q65" s="4"/>
      <c r="R65" s="4"/>
      <c r="S65" s="4"/>
    </row>
    <row r="66" spans="1:19" ht="20.100000000000001" hidden="1" customHeight="1" x14ac:dyDescent="0.2">
      <c r="A66" s="151">
        <v>43255</v>
      </c>
      <c r="B66" s="84">
        <v>22710.6</v>
      </c>
      <c r="C66" s="86">
        <v>260022.47</v>
      </c>
      <c r="D66" s="86">
        <v>736877</v>
      </c>
      <c r="E66" s="86">
        <v>1596.08</v>
      </c>
      <c r="F66" s="86"/>
      <c r="G66" s="86">
        <v>2532.8000000000002</v>
      </c>
      <c r="H66" s="86"/>
      <c r="I66" s="86"/>
      <c r="J66" s="86"/>
      <c r="K66" s="86"/>
      <c r="L66" s="86"/>
      <c r="M66" s="86">
        <v>2864658.3</v>
      </c>
      <c r="N66" s="4"/>
      <c r="O66" s="4"/>
      <c r="P66" s="4"/>
      <c r="Q66" s="4"/>
      <c r="R66" s="4"/>
      <c r="S66" s="4"/>
    </row>
    <row r="67" spans="1:19" ht="20.100000000000001" hidden="1" customHeight="1" x14ac:dyDescent="0.2">
      <c r="A67" s="151">
        <v>43283</v>
      </c>
      <c r="B67" s="84">
        <v>22900.3</v>
      </c>
      <c r="C67" s="86">
        <v>262040</v>
      </c>
      <c r="D67" s="86">
        <v>742613</v>
      </c>
      <c r="E67" s="86">
        <v>1608</v>
      </c>
      <c r="F67" s="86"/>
      <c r="G67" s="86">
        <v>2554</v>
      </c>
      <c r="H67" s="86"/>
      <c r="I67" s="86"/>
      <c r="J67" s="86"/>
      <c r="K67" s="86"/>
      <c r="L67" s="86"/>
      <c r="M67" s="86">
        <v>2866907</v>
      </c>
      <c r="N67" s="4"/>
      <c r="O67" s="4"/>
      <c r="P67" s="4"/>
      <c r="Q67" s="4"/>
      <c r="R67" s="4"/>
      <c r="S67" s="4"/>
    </row>
    <row r="68" spans="1:19" ht="20.100000000000001" hidden="1" customHeight="1" x14ac:dyDescent="0.2">
      <c r="A68" s="151">
        <v>43319</v>
      </c>
      <c r="B68" s="84">
        <v>23114</v>
      </c>
      <c r="C68" s="86">
        <v>264743.38</v>
      </c>
      <c r="D68" s="86">
        <v>750189</v>
      </c>
      <c r="E68" s="86">
        <v>1623.71</v>
      </c>
      <c r="F68" s="86"/>
      <c r="G68" s="86">
        <v>2591</v>
      </c>
      <c r="H68" s="86"/>
      <c r="I68" s="86"/>
      <c r="J68" s="86"/>
      <c r="K68" s="86"/>
      <c r="L68" s="86"/>
      <c r="M68" s="86">
        <v>2869623.2</v>
      </c>
      <c r="N68" s="4"/>
      <c r="O68" s="4"/>
      <c r="P68" s="4"/>
      <c r="Q68" s="4"/>
      <c r="R68" s="4"/>
      <c r="S68" s="4"/>
    </row>
    <row r="69" spans="1:19" ht="20.100000000000001" hidden="1" customHeight="1" x14ac:dyDescent="0.2">
      <c r="A69" s="151">
        <v>43346</v>
      </c>
      <c r="B69" s="84">
        <v>23283.4</v>
      </c>
      <c r="C69" s="86">
        <v>266737.7</v>
      </c>
      <c r="D69" s="86">
        <v>755718</v>
      </c>
      <c r="E69" s="86">
        <v>1635.45</v>
      </c>
      <c r="F69" s="86"/>
      <c r="G69" s="86">
        <v>2623</v>
      </c>
      <c r="H69" s="86"/>
      <c r="I69" s="86"/>
      <c r="J69" s="86"/>
      <c r="K69" s="86"/>
      <c r="L69" s="86"/>
      <c r="M69" s="86">
        <v>2871597.5</v>
      </c>
      <c r="N69" s="4"/>
      <c r="O69" s="4"/>
      <c r="P69" s="4"/>
      <c r="Q69" s="4"/>
      <c r="R69" s="4"/>
      <c r="S69" s="4"/>
    </row>
    <row r="70" spans="1:19" ht="20.100000000000001" hidden="1" customHeight="1" x14ac:dyDescent="0.2">
      <c r="A70" s="151">
        <v>43374</v>
      </c>
      <c r="B70" s="84">
        <v>23478.6</v>
      </c>
      <c r="C70" s="86">
        <v>269026.42</v>
      </c>
      <c r="D70" s="86">
        <v>762147</v>
      </c>
      <c r="E70" s="86">
        <v>1649.18</v>
      </c>
      <c r="F70" s="86"/>
      <c r="G70" s="86">
        <v>2648.7</v>
      </c>
      <c r="H70" s="86"/>
      <c r="I70" s="86"/>
      <c r="J70" s="86"/>
      <c r="K70" s="86"/>
      <c r="L70" s="86"/>
      <c r="M70" s="86">
        <v>2873905.1</v>
      </c>
      <c r="N70" s="4"/>
      <c r="O70" s="4"/>
      <c r="P70" s="4"/>
      <c r="Q70" s="4"/>
      <c r="R70" s="4"/>
      <c r="S70" s="4"/>
    </row>
    <row r="71" spans="1:19" ht="20.100000000000001" hidden="1" customHeight="1" x14ac:dyDescent="0.2">
      <c r="A71" s="151">
        <v>43409</v>
      </c>
      <c r="B71" s="84">
        <v>23900</v>
      </c>
      <c r="C71" s="86">
        <v>273915.2</v>
      </c>
      <c r="D71" s="86">
        <v>776070</v>
      </c>
      <c r="E71" s="86">
        <v>1678.95</v>
      </c>
      <c r="F71" s="86"/>
      <c r="G71" s="86">
        <v>2700.8</v>
      </c>
      <c r="H71" s="86"/>
      <c r="I71" s="86"/>
      <c r="J71" s="86"/>
      <c r="K71" s="86"/>
      <c r="L71" s="86"/>
      <c r="M71" s="86">
        <v>2879592.2</v>
      </c>
      <c r="N71" s="4"/>
      <c r="O71" s="4"/>
      <c r="P71" s="4"/>
      <c r="Q71" s="4"/>
      <c r="R71" s="4"/>
      <c r="S71" s="4"/>
    </row>
    <row r="72" spans="1:19" ht="20.100000000000001" hidden="1" customHeight="1" x14ac:dyDescent="0.2">
      <c r="A72" s="89">
        <v>43437</v>
      </c>
      <c r="B72" s="84">
        <v>24564.3</v>
      </c>
      <c r="C72" s="86">
        <v>281773.08</v>
      </c>
      <c r="D72" s="84">
        <v>798377</v>
      </c>
      <c r="E72" s="86">
        <v>1726.92</v>
      </c>
      <c r="F72" s="86"/>
      <c r="G72" s="86">
        <v>2766.7</v>
      </c>
      <c r="H72" s="86"/>
      <c r="I72" s="145"/>
      <c r="J72" s="145"/>
      <c r="K72" s="145"/>
      <c r="L72" s="145"/>
      <c r="M72" s="86">
        <v>2889220.1</v>
      </c>
      <c r="N72" s="85"/>
      <c r="O72" s="136"/>
      <c r="P72" s="107"/>
      <c r="Q72" s="107"/>
      <c r="R72" s="4"/>
      <c r="S72" s="133"/>
    </row>
    <row r="73" spans="1:19" ht="20.100000000000001" hidden="1" customHeight="1" thickBot="1" x14ac:dyDescent="0.25">
      <c r="A73" s="91">
        <v>43472</v>
      </c>
      <c r="B73" s="98">
        <v>25396.2</v>
      </c>
      <c r="C73" s="146">
        <v>291521.7</v>
      </c>
      <c r="D73" s="98">
        <v>826361</v>
      </c>
      <c r="E73" s="146">
        <v>1787.1</v>
      </c>
      <c r="F73" s="146"/>
      <c r="G73" s="146">
        <v>2882.8</v>
      </c>
      <c r="H73" s="146"/>
      <c r="I73" s="147"/>
      <c r="J73" s="147"/>
      <c r="K73" s="147"/>
      <c r="L73" s="147"/>
      <c r="M73" s="146">
        <v>2903435.2</v>
      </c>
      <c r="N73" s="153">
        <v>999086</v>
      </c>
      <c r="O73" s="135">
        <v>49792.23</v>
      </c>
      <c r="P73" s="106"/>
      <c r="Q73" s="106"/>
      <c r="R73" s="152">
        <v>98872</v>
      </c>
      <c r="S73" s="132">
        <v>29790.799999999999</v>
      </c>
    </row>
    <row r="74" spans="1:19" ht="20.100000000000001" hidden="1" customHeight="1" x14ac:dyDescent="0.2">
      <c r="A74" s="89">
        <v>43497</v>
      </c>
      <c r="B74" s="90">
        <v>25995.8</v>
      </c>
      <c r="C74" s="143">
        <v>298572.09999999998</v>
      </c>
      <c r="D74" s="90">
        <v>846510</v>
      </c>
      <c r="E74" s="143">
        <v>1830.53</v>
      </c>
      <c r="F74" s="143"/>
      <c r="G74" s="143">
        <v>2939.9</v>
      </c>
      <c r="H74" s="143"/>
      <c r="I74" s="144"/>
      <c r="J74" s="144"/>
      <c r="K74" s="144"/>
      <c r="L74" s="144"/>
      <c r="M74" s="143">
        <v>2915511.2</v>
      </c>
      <c r="N74" s="82"/>
      <c r="O74" s="135"/>
      <c r="P74" s="106"/>
      <c r="Q74" s="106"/>
      <c r="R74" s="12">
        <v>99104</v>
      </c>
      <c r="S74" s="132"/>
    </row>
    <row r="75" spans="1:19" ht="20.100000000000001" hidden="1" customHeight="1" x14ac:dyDescent="0.2">
      <c r="A75" s="89">
        <v>43525</v>
      </c>
      <c r="B75" s="84">
        <v>26666.400000000001</v>
      </c>
      <c r="C75" s="86">
        <v>306402.59999999998</v>
      </c>
      <c r="D75" s="84">
        <v>869071</v>
      </c>
      <c r="E75" s="86">
        <v>1879.44</v>
      </c>
      <c r="F75" s="86"/>
      <c r="G75" s="86">
        <v>3011.1</v>
      </c>
      <c r="H75" s="86"/>
      <c r="I75" s="145"/>
      <c r="J75" s="145"/>
      <c r="K75" s="145"/>
      <c r="L75" s="145"/>
      <c r="M75" s="86">
        <v>2926852.4</v>
      </c>
      <c r="N75" s="85"/>
      <c r="O75" s="136"/>
      <c r="P75" s="107"/>
      <c r="Q75" s="107"/>
      <c r="R75" s="4"/>
      <c r="S75" s="133"/>
    </row>
    <row r="76" spans="1:19" ht="20.100000000000001" hidden="1" customHeight="1" x14ac:dyDescent="0.2">
      <c r="A76" s="89">
        <v>43556</v>
      </c>
      <c r="B76" s="84">
        <v>27342.6</v>
      </c>
      <c r="C76" s="86">
        <v>314248.3</v>
      </c>
      <c r="D76" s="84">
        <v>891299</v>
      </c>
      <c r="E76" s="86">
        <v>1927.49</v>
      </c>
      <c r="F76" s="86"/>
      <c r="G76" s="86">
        <v>3089.6</v>
      </c>
      <c r="H76" s="86"/>
      <c r="I76" s="145"/>
      <c r="J76" s="145"/>
      <c r="K76" s="145"/>
      <c r="L76" s="145"/>
      <c r="M76" s="86">
        <v>2936525.2</v>
      </c>
      <c r="N76" s="85"/>
      <c r="O76" s="136"/>
      <c r="P76" s="107"/>
      <c r="Q76" s="107"/>
      <c r="R76" s="4"/>
      <c r="S76" s="133"/>
    </row>
    <row r="77" spans="1:19" ht="20.100000000000001" hidden="1" customHeight="1" x14ac:dyDescent="0.2">
      <c r="A77" s="89">
        <v>43587</v>
      </c>
      <c r="B77" s="84">
        <v>27916.400000000001</v>
      </c>
      <c r="C77" s="86">
        <v>320715.59999999998</v>
      </c>
      <c r="D77" s="84">
        <v>909817</v>
      </c>
      <c r="E77" s="86">
        <v>1967.41</v>
      </c>
      <c r="F77" s="86"/>
      <c r="G77" s="86">
        <v>3161.3</v>
      </c>
      <c r="H77" s="86"/>
      <c r="I77" s="145"/>
      <c r="J77" s="145"/>
      <c r="K77" s="145"/>
      <c r="L77" s="145"/>
      <c r="M77" s="86">
        <v>2943479.3</v>
      </c>
      <c r="N77" s="85"/>
      <c r="O77" s="136"/>
      <c r="P77" s="107"/>
      <c r="Q77" s="107"/>
      <c r="R77" s="4"/>
      <c r="S77" s="133"/>
    </row>
    <row r="78" spans="1:19" ht="20.100000000000001" hidden="1" customHeight="1" x14ac:dyDescent="0.2">
      <c r="A78" s="89">
        <v>43619</v>
      </c>
      <c r="B78" s="84">
        <v>28435.9</v>
      </c>
      <c r="C78" s="86">
        <v>326779.2</v>
      </c>
      <c r="D78" s="84">
        <v>926862</v>
      </c>
      <c r="E78" s="86">
        <v>2003.8</v>
      </c>
      <c r="F78" s="86"/>
      <c r="G78" s="86">
        <v>3222.2</v>
      </c>
      <c r="H78" s="86"/>
      <c r="I78" s="145"/>
      <c r="J78" s="145"/>
      <c r="K78" s="145"/>
      <c r="L78" s="145"/>
      <c r="M78" s="86">
        <v>2949614</v>
      </c>
      <c r="N78" s="85"/>
      <c r="O78" s="136"/>
      <c r="P78" s="107"/>
      <c r="Q78" s="107"/>
      <c r="R78" s="4"/>
      <c r="S78" s="133"/>
    </row>
    <row r="79" spans="1:19" ht="15.75" hidden="1" customHeight="1" x14ac:dyDescent="0.2">
      <c r="A79" s="151">
        <v>43647</v>
      </c>
      <c r="B79" s="156">
        <v>28686</v>
      </c>
      <c r="C79" s="157">
        <v>328630.28999999998</v>
      </c>
      <c r="D79" s="156">
        <v>931710</v>
      </c>
      <c r="E79" s="157">
        <v>2014.22</v>
      </c>
      <c r="F79" s="4"/>
      <c r="G79" s="157">
        <v>3243.5</v>
      </c>
      <c r="H79" s="4"/>
      <c r="I79" s="4"/>
      <c r="J79" s="4"/>
      <c r="K79" s="4"/>
      <c r="L79" s="4"/>
      <c r="M79" s="157">
        <v>2951939.2</v>
      </c>
      <c r="N79" s="4"/>
      <c r="O79" s="4"/>
      <c r="P79" s="4"/>
      <c r="Q79" s="4"/>
      <c r="R79" s="4"/>
      <c r="S79" s="4"/>
    </row>
    <row r="80" spans="1:19" ht="15.75" hidden="1" customHeight="1" x14ac:dyDescent="0.2">
      <c r="A80" s="151">
        <v>43691</v>
      </c>
      <c r="B80" s="156">
        <v>28985.200000000001</v>
      </c>
      <c r="C80" s="157">
        <v>331532.53999999998</v>
      </c>
      <c r="D80" s="156">
        <v>936984</v>
      </c>
      <c r="E80" s="157">
        <v>2029.87</v>
      </c>
      <c r="F80" s="4"/>
      <c r="G80" s="157">
        <v>3249.3</v>
      </c>
      <c r="H80" s="4"/>
      <c r="I80" s="4"/>
      <c r="J80" s="4"/>
      <c r="K80" s="4"/>
      <c r="L80" s="4"/>
      <c r="M80" s="157">
        <v>2955621.2</v>
      </c>
      <c r="N80" s="4"/>
      <c r="O80" s="4"/>
      <c r="P80" s="4"/>
      <c r="Q80" s="4"/>
      <c r="R80" s="4"/>
      <c r="S80" s="4"/>
    </row>
    <row r="81" spans="1:19" ht="15.75" hidden="1" customHeight="1" x14ac:dyDescent="0.2">
      <c r="A81" s="151">
        <v>43718</v>
      </c>
      <c r="B81" s="156">
        <v>29214.6</v>
      </c>
      <c r="C81" s="157">
        <v>333871.7</v>
      </c>
      <c r="D81" s="156">
        <v>942716</v>
      </c>
      <c r="E81" s="157">
        <v>2043.03</v>
      </c>
      <c r="F81" s="4"/>
      <c r="G81" s="157">
        <v>3276.4</v>
      </c>
      <c r="H81" s="4"/>
      <c r="I81" s="4"/>
      <c r="J81" s="4"/>
      <c r="K81" s="4"/>
      <c r="L81" s="4"/>
      <c r="M81" s="157">
        <v>2958164</v>
      </c>
      <c r="N81" s="4"/>
      <c r="O81" s="4"/>
      <c r="P81" s="4"/>
      <c r="Q81" s="4"/>
      <c r="R81" s="4"/>
      <c r="S81" s="4"/>
    </row>
    <row r="82" spans="1:19" ht="15.75" hidden="1" customHeight="1" x14ac:dyDescent="0.2">
      <c r="A82" s="151">
        <v>43739</v>
      </c>
      <c r="B82" s="156">
        <v>29565</v>
      </c>
      <c r="C82" s="157">
        <v>336732.38</v>
      </c>
      <c r="D82" s="156">
        <v>950439</v>
      </c>
      <c r="E82" s="157">
        <v>2059.94</v>
      </c>
      <c r="F82" s="4"/>
      <c r="G82" s="157">
        <v>3302</v>
      </c>
      <c r="H82" s="4"/>
      <c r="I82" s="4"/>
      <c r="J82" s="4"/>
      <c r="K82" s="4"/>
      <c r="L82" s="4"/>
      <c r="M82" s="157">
        <v>2961226.6</v>
      </c>
      <c r="N82" s="4"/>
      <c r="O82" s="4"/>
      <c r="P82" s="4"/>
      <c r="Q82" s="4"/>
      <c r="R82" s="4"/>
      <c r="S82" s="4"/>
    </row>
    <row r="83" spans="1:19" ht="15.75" hidden="1" customHeight="1" x14ac:dyDescent="0.2">
      <c r="A83" s="151">
        <v>43767</v>
      </c>
      <c r="B83" s="156">
        <v>29808.2</v>
      </c>
      <c r="C83" s="157">
        <v>340967</v>
      </c>
      <c r="D83" s="156">
        <v>962470</v>
      </c>
      <c r="E83" s="157">
        <v>2085.6799999999998</v>
      </c>
      <c r="F83" s="4"/>
      <c r="G83" s="157">
        <v>3339.6</v>
      </c>
      <c r="H83" s="4"/>
      <c r="I83" s="4"/>
      <c r="J83" s="4"/>
      <c r="K83" s="4"/>
      <c r="L83" s="4"/>
      <c r="M83" s="157">
        <v>2965962.9</v>
      </c>
      <c r="N83" s="4"/>
      <c r="O83" s="4"/>
      <c r="P83" s="4"/>
      <c r="Q83" s="4"/>
      <c r="R83" s="4"/>
      <c r="S83" s="4"/>
    </row>
    <row r="84" spans="1:19" ht="15.75" hidden="1" customHeight="1" x14ac:dyDescent="0.2">
      <c r="A84" s="151">
        <v>43804</v>
      </c>
      <c r="B84" s="156">
        <v>30665.8</v>
      </c>
      <c r="C84" s="157">
        <v>351040.8</v>
      </c>
      <c r="D84" s="156">
        <v>991354</v>
      </c>
      <c r="E84" s="157">
        <v>2148.29</v>
      </c>
      <c r="F84" s="4"/>
      <c r="G84" s="157">
        <v>3432</v>
      </c>
      <c r="H84" s="4"/>
      <c r="I84" s="4"/>
      <c r="J84" s="4"/>
      <c r="K84" s="4"/>
      <c r="L84" s="4"/>
      <c r="M84" s="157">
        <v>2980873</v>
      </c>
      <c r="N84" s="4"/>
      <c r="O84" s="4"/>
      <c r="P84" s="4"/>
      <c r="Q84" s="4"/>
      <c r="R84" s="4"/>
      <c r="S84" s="4"/>
    </row>
    <row r="85" spans="1:19" ht="15.75" hidden="1" customHeight="1" thickBot="1" x14ac:dyDescent="0.25">
      <c r="A85" s="91">
        <v>43831</v>
      </c>
      <c r="B85" s="158">
        <v>30973</v>
      </c>
      <c r="C85" s="159">
        <v>354657.1</v>
      </c>
      <c r="D85" s="98">
        <v>1001615</v>
      </c>
      <c r="E85" s="146">
        <v>2170.87</v>
      </c>
      <c r="F85" s="146"/>
      <c r="G85" s="146">
        <v>3464.1</v>
      </c>
      <c r="H85" s="146"/>
      <c r="I85" s="147"/>
      <c r="J85" s="147"/>
      <c r="K85" s="147"/>
      <c r="L85" s="147"/>
      <c r="M85" s="146">
        <v>2986369.1</v>
      </c>
      <c r="N85" s="160">
        <v>920165</v>
      </c>
      <c r="O85" s="160">
        <v>46392.81</v>
      </c>
      <c r="P85" s="102"/>
      <c r="Q85" s="102"/>
      <c r="R85" s="160">
        <v>99104</v>
      </c>
      <c r="S85" s="161">
        <v>27131.79</v>
      </c>
    </row>
    <row r="86" spans="1:19" ht="15.75" hidden="1" customHeight="1" x14ac:dyDescent="0.2">
      <c r="A86" s="89">
        <v>43864</v>
      </c>
      <c r="B86" s="90">
        <v>31697.200000000001</v>
      </c>
      <c r="C86" s="143">
        <v>363150.1</v>
      </c>
      <c r="D86" s="90">
        <v>1025802</v>
      </c>
      <c r="E86" s="143">
        <v>2224.71</v>
      </c>
      <c r="F86" s="143"/>
      <c r="G86" s="143">
        <v>3514.6</v>
      </c>
      <c r="H86" s="143"/>
      <c r="I86" s="144"/>
      <c r="J86" s="144"/>
      <c r="K86" s="144"/>
      <c r="L86" s="144"/>
      <c r="M86" s="143">
        <v>3004529.2</v>
      </c>
      <c r="N86" s="12"/>
      <c r="O86" s="12"/>
      <c r="P86" s="12"/>
      <c r="Q86" s="12"/>
      <c r="R86" s="12"/>
      <c r="S86" s="12"/>
    </row>
    <row r="87" spans="1:19" ht="15.75" hidden="1" customHeight="1" x14ac:dyDescent="0.2">
      <c r="A87" s="89">
        <v>43892</v>
      </c>
      <c r="B87" s="84">
        <v>32350.3</v>
      </c>
      <c r="C87" s="86">
        <v>370829.6</v>
      </c>
      <c r="D87" s="84">
        <v>1047475</v>
      </c>
      <c r="E87" s="86">
        <v>2272.61</v>
      </c>
      <c r="F87" s="86"/>
      <c r="G87" s="86">
        <v>3552.8</v>
      </c>
      <c r="H87" s="86"/>
      <c r="I87" s="145"/>
      <c r="J87" s="145"/>
      <c r="K87" s="145"/>
      <c r="L87" s="145"/>
      <c r="M87" s="86">
        <v>3014489.2</v>
      </c>
      <c r="N87" s="4"/>
      <c r="O87" s="4"/>
      <c r="P87" s="4"/>
      <c r="Q87" s="4"/>
      <c r="R87" s="4"/>
      <c r="S87" s="4"/>
    </row>
    <row r="88" spans="1:19" ht="15.75" hidden="1" customHeight="1" x14ac:dyDescent="0.2">
      <c r="A88" s="151">
        <v>43922</v>
      </c>
      <c r="B88" s="156">
        <v>33023</v>
      </c>
      <c r="C88" s="157">
        <v>378833</v>
      </c>
      <c r="D88" s="156">
        <v>1069729</v>
      </c>
      <c r="E88" s="157">
        <v>2322</v>
      </c>
      <c r="F88" s="4"/>
      <c r="G88" s="157">
        <v>3605</v>
      </c>
      <c r="H88" s="4"/>
      <c r="I88" s="4"/>
      <c r="J88" s="4"/>
      <c r="K88" s="4"/>
      <c r="L88" s="4"/>
      <c r="M88" s="157">
        <v>3023627.4</v>
      </c>
      <c r="N88" s="4"/>
      <c r="O88" s="4"/>
      <c r="P88" s="4"/>
      <c r="Q88" s="4"/>
      <c r="R88" s="4"/>
      <c r="S88" s="4"/>
    </row>
    <row r="89" spans="1:19" ht="15.75" hidden="1" customHeight="1" x14ac:dyDescent="0.2">
      <c r="A89" s="151">
        <v>43955</v>
      </c>
      <c r="B89" s="156">
        <v>33473.4</v>
      </c>
      <c r="C89" s="157">
        <v>384137.1</v>
      </c>
      <c r="D89" s="156">
        <v>1084156</v>
      </c>
      <c r="E89" s="157">
        <v>2354.9899999999998</v>
      </c>
      <c r="F89" s="4"/>
      <c r="G89" s="157">
        <v>3680.7</v>
      </c>
      <c r="H89" s="4"/>
      <c r="I89" s="4"/>
      <c r="J89" s="4"/>
      <c r="K89" s="4"/>
      <c r="L89" s="4"/>
      <c r="M89" s="157">
        <v>3028918.5</v>
      </c>
      <c r="N89" s="4"/>
      <c r="O89" s="4"/>
      <c r="P89" s="4"/>
      <c r="Q89" s="4"/>
      <c r="R89" s="4"/>
      <c r="S89" s="4"/>
    </row>
    <row r="90" spans="1:19" ht="15.75" hidden="1" customHeight="1" x14ac:dyDescent="0.2">
      <c r="A90" s="151">
        <v>43984</v>
      </c>
      <c r="B90" s="156">
        <v>33890.400000000001</v>
      </c>
      <c r="C90" s="157">
        <v>388994</v>
      </c>
      <c r="D90" s="156">
        <v>1097075</v>
      </c>
      <c r="E90" s="157">
        <v>2385</v>
      </c>
      <c r="F90" s="4"/>
      <c r="G90" s="157">
        <v>3737</v>
      </c>
      <c r="H90" s="4"/>
      <c r="I90" s="4"/>
      <c r="J90" s="4"/>
      <c r="K90" s="4"/>
      <c r="L90" s="4"/>
      <c r="M90" s="157">
        <v>3033731.8</v>
      </c>
      <c r="N90" s="4"/>
      <c r="O90" s="4"/>
      <c r="P90" s="4"/>
      <c r="Q90" s="4"/>
      <c r="R90" s="4"/>
      <c r="S90" s="4"/>
    </row>
    <row r="91" spans="1:19" ht="15.75" hidden="1" customHeight="1" x14ac:dyDescent="0.2">
      <c r="A91" s="151">
        <v>44013</v>
      </c>
      <c r="B91" s="156">
        <v>34123.5</v>
      </c>
      <c r="C91" s="157">
        <v>391632.1</v>
      </c>
      <c r="D91" s="156">
        <v>1104282</v>
      </c>
      <c r="E91" s="157">
        <v>2400.9699999999998</v>
      </c>
      <c r="F91" s="4"/>
      <c r="G91" s="157">
        <v>3776.2</v>
      </c>
      <c r="H91" s="4"/>
      <c r="I91" s="4"/>
      <c r="J91" s="4"/>
      <c r="K91" s="4"/>
      <c r="L91" s="4"/>
      <c r="M91" s="157">
        <v>3036600</v>
      </c>
      <c r="N91" s="4"/>
      <c r="O91" s="4"/>
      <c r="P91" s="4"/>
      <c r="Q91" s="4"/>
      <c r="R91" s="4"/>
      <c r="S91" s="4"/>
    </row>
    <row r="92" spans="1:19" ht="15.75" hidden="1" customHeight="1" x14ac:dyDescent="0.2">
      <c r="A92" s="151">
        <v>44046</v>
      </c>
      <c r="B92" s="156">
        <v>34268.400000000001</v>
      </c>
      <c r="C92" s="157">
        <v>393233.65</v>
      </c>
      <c r="D92" s="156">
        <v>1108752</v>
      </c>
      <c r="E92" s="157">
        <v>2410.48</v>
      </c>
      <c r="F92" s="4"/>
      <c r="G92" s="157">
        <v>3797.1</v>
      </c>
      <c r="H92" s="4"/>
      <c r="I92" s="4"/>
      <c r="J92" s="4"/>
      <c r="K92" s="4"/>
      <c r="L92" s="4"/>
      <c r="M92" s="157">
        <v>3039051.2</v>
      </c>
      <c r="N92" s="4"/>
      <c r="O92" s="4"/>
      <c r="P92" s="4"/>
      <c r="Q92" s="4"/>
      <c r="R92" s="4"/>
      <c r="S92" s="4"/>
    </row>
    <row r="93" spans="1:19" ht="15.75" hidden="1" customHeight="1" x14ac:dyDescent="0.2">
      <c r="A93" s="151">
        <v>44075</v>
      </c>
      <c r="B93" s="156">
        <v>34435.800000000003</v>
      </c>
      <c r="C93" s="157">
        <v>395093.36</v>
      </c>
      <c r="D93" s="156">
        <v>1113911</v>
      </c>
      <c r="E93" s="157">
        <v>2421.4</v>
      </c>
      <c r="F93" s="4"/>
      <c r="G93" s="157">
        <v>3824.7</v>
      </c>
      <c r="H93" s="4"/>
      <c r="I93" s="4"/>
      <c r="J93" s="4"/>
      <c r="K93" s="4"/>
      <c r="L93" s="4"/>
      <c r="M93" s="157">
        <v>3041302.8</v>
      </c>
      <c r="N93" s="4"/>
      <c r="O93" s="4"/>
      <c r="P93" s="4"/>
      <c r="Q93" s="4"/>
      <c r="R93" s="4"/>
      <c r="S93" s="4"/>
    </row>
    <row r="94" spans="1:19" ht="15.75" hidden="1" customHeight="1" x14ac:dyDescent="0.2">
      <c r="A94" s="151">
        <v>44105</v>
      </c>
      <c r="B94" s="156">
        <v>34825.199999999997</v>
      </c>
      <c r="C94" s="157">
        <v>399629.6</v>
      </c>
      <c r="D94" s="156">
        <v>1126753</v>
      </c>
      <c r="E94" s="157">
        <v>2448.77</v>
      </c>
      <c r="F94" s="4"/>
      <c r="G94" s="157">
        <v>3875.5</v>
      </c>
      <c r="H94" s="4"/>
      <c r="I94" s="4"/>
      <c r="J94" s="4"/>
      <c r="K94" s="4"/>
      <c r="L94" s="4"/>
      <c r="M94" s="157">
        <v>3046097.9</v>
      </c>
      <c r="N94" s="4"/>
      <c r="O94" s="4"/>
      <c r="P94" s="4"/>
      <c r="Q94" s="4"/>
      <c r="R94" s="4"/>
      <c r="S94" s="4"/>
    </row>
    <row r="95" spans="1:19" ht="15.75" hidden="1" customHeight="1" x14ac:dyDescent="0.2">
      <c r="A95" s="151">
        <v>44136</v>
      </c>
      <c r="B95" s="156">
        <v>35529.199999999997</v>
      </c>
      <c r="C95" s="157">
        <v>407992</v>
      </c>
      <c r="D95" s="156">
        <v>1150414</v>
      </c>
      <c r="E95" s="157">
        <v>2499.58</v>
      </c>
      <c r="F95" s="4"/>
      <c r="G95" s="157">
        <v>3958.5</v>
      </c>
      <c r="H95" s="4"/>
      <c r="I95" s="4"/>
      <c r="J95" s="4"/>
      <c r="K95" s="4"/>
      <c r="L95" s="4"/>
      <c r="M95" s="157">
        <v>3055532.1</v>
      </c>
      <c r="N95" s="4"/>
      <c r="O95" s="4"/>
      <c r="P95" s="4"/>
      <c r="Q95" s="4"/>
      <c r="R95" s="4"/>
      <c r="S95" s="4"/>
    </row>
    <row r="96" spans="1:19" ht="15.75" hidden="1" customHeight="1" x14ac:dyDescent="0.2">
      <c r="A96" s="151">
        <v>44166</v>
      </c>
      <c r="B96" s="156">
        <v>36193.199999999997</v>
      </c>
      <c r="C96" s="157">
        <v>415824.99</v>
      </c>
      <c r="D96" s="156">
        <v>1172814</v>
      </c>
      <c r="E96" s="157">
        <v>2548.0700000000002</v>
      </c>
      <c r="F96" s="4"/>
      <c r="G96" s="157">
        <v>4040.8</v>
      </c>
      <c r="H96" s="4"/>
      <c r="I96" s="4"/>
      <c r="J96" s="4"/>
      <c r="K96" s="4"/>
      <c r="L96" s="4"/>
      <c r="M96" s="157">
        <v>3066788.2</v>
      </c>
      <c r="N96" s="4"/>
      <c r="O96" s="4"/>
      <c r="P96" s="4"/>
      <c r="Q96" s="4"/>
      <c r="R96" s="4"/>
      <c r="S96" s="4"/>
    </row>
    <row r="97" spans="1:19" ht="15.75" hidden="1" customHeight="1" thickBot="1" x14ac:dyDescent="0.25">
      <c r="A97" s="91">
        <v>44197</v>
      </c>
      <c r="B97" s="97">
        <v>37060.1</v>
      </c>
      <c r="C97" s="97">
        <v>426079.8</v>
      </c>
      <c r="D97" s="170">
        <v>1202049</v>
      </c>
      <c r="E97" s="97">
        <v>2610.5</v>
      </c>
      <c r="F97" s="102"/>
      <c r="G97" s="159"/>
      <c r="H97" s="102"/>
      <c r="I97" s="102"/>
      <c r="J97" s="102"/>
      <c r="K97" s="102"/>
      <c r="L97" s="102"/>
      <c r="M97" s="159"/>
      <c r="N97" s="102"/>
      <c r="O97" s="102"/>
      <c r="P97" s="102"/>
      <c r="Q97" s="102"/>
      <c r="R97" s="102"/>
      <c r="S97" s="102"/>
    </row>
    <row r="98" spans="1:19" ht="15.75" hidden="1" customHeight="1" x14ac:dyDescent="0.2">
      <c r="A98" s="89">
        <v>44228</v>
      </c>
      <c r="B98" s="162">
        <v>37660</v>
      </c>
      <c r="C98" s="163">
        <v>433192.5</v>
      </c>
      <c r="D98" s="162">
        <v>1222305</v>
      </c>
      <c r="E98" s="163">
        <v>2653.77</v>
      </c>
      <c r="F98" s="12"/>
      <c r="G98" s="163">
        <v>4276</v>
      </c>
      <c r="H98" s="12"/>
      <c r="I98" s="12"/>
      <c r="J98" s="12"/>
      <c r="K98" s="12"/>
      <c r="L98" s="12"/>
      <c r="M98" s="163">
        <v>3096114.8</v>
      </c>
      <c r="N98" s="12"/>
      <c r="O98" s="12"/>
      <c r="P98" s="12"/>
      <c r="Q98" s="12"/>
      <c r="R98" s="12"/>
      <c r="S98" s="12"/>
    </row>
    <row r="99" spans="1:19" ht="15.75" hidden="1" customHeight="1" x14ac:dyDescent="0.2">
      <c r="A99" s="164" t="s">
        <v>118</v>
      </c>
      <c r="B99" s="156">
        <v>38390.800000000003</v>
      </c>
      <c r="C99" s="157">
        <v>441892.4</v>
      </c>
      <c r="D99" s="169">
        <v>1264565</v>
      </c>
      <c r="E99" s="157">
        <v>2706.74</v>
      </c>
      <c r="F99" s="4"/>
      <c r="G99" s="157">
        <v>4397.3999999999996</v>
      </c>
      <c r="H99" s="4"/>
      <c r="I99" s="4"/>
      <c r="J99" s="4"/>
      <c r="K99" s="4"/>
      <c r="L99" s="4"/>
      <c r="M99" s="157">
        <v>3108798</v>
      </c>
      <c r="N99" s="4"/>
      <c r="O99" s="4"/>
      <c r="P99" s="4"/>
      <c r="Q99" s="4"/>
      <c r="R99" s="4"/>
      <c r="S99" s="4"/>
    </row>
    <row r="100" spans="1:19" ht="15.75" hidden="1" customHeight="1" x14ac:dyDescent="0.2">
      <c r="A100" s="151">
        <v>44293</v>
      </c>
      <c r="B100" s="156">
        <v>39168.9</v>
      </c>
      <c r="C100" s="157">
        <v>451014.1</v>
      </c>
      <c r="D100" s="165">
        <v>8414</v>
      </c>
      <c r="E100" s="157">
        <v>2762.42</v>
      </c>
      <c r="F100" s="4"/>
      <c r="G100" s="157">
        <v>4514.3999999999996</v>
      </c>
      <c r="H100" s="4"/>
      <c r="I100" s="4"/>
      <c r="J100" s="4"/>
      <c r="K100" s="4"/>
      <c r="L100" s="4"/>
      <c r="M100" s="157">
        <v>3121030</v>
      </c>
      <c r="N100" s="4"/>
      <c r="O100" s="4"/>
      <c r="P100" s="4"/>
      <c r="Q100" s="4"/>
      <c r="R100" s="4"/>
      <c r="S100" s="4"/>
    </row>
    <row r="101" spans="1:19" ht="15.75" hidden="1" customHeight="1" x14ac:dyDescent="0.2">
      <c r="A101" s="151">
        <v>44319</v>
      </c>
      <c r="B101" s="156">
        <v>39644</v>
      </c>
      <c r="C101" s="157">
        <v>456530.8</v>
      </c>
      <c r="D101" s="165">
        <v>24406</v>
      </c>
      <c r="E101" s="157">
        <v>2796.5</v>
      </c>
      <c r="F101" s="4"/>
      <c r="G101" s="157">
        <v>4585.3</v>
      </c>
      <c r="H101" s="4"/>
      <c r="I101" s="4"/>
      <c r="J101" s="4"/>
      <c r="K101" s="4"/>
      <c r="L101" s="4"/>
      <c r="M101" s="157">
        <v>3128726.9</v>
      </c>
      <c r="N101" s="4"/>
      <c r="O101" s="4"/>
      <c r="P101" s="4"/>
      <c r="Q101" s="4"/>
      <c r="R101" s="4"/>
      <c r="S101" s="4"/>
    </row>
    <row r="102" spans="1:19" ht="15.75" hidden="1" customHeight="1" x14ac:dyDescent="0.2">
      <c r="A102" s="151">
        <v>44348</v>
      </c>
      <c r="B102" s="156">
        <v>40175</v>
      </c>
      <c r="C102" s="157">
        <v>462702.2</v>
      </c>
      <c r="D102" s="165">
        <v>42208</v>
      </c>
      <c r="E102" s="157">
        <v>2834.4</v>
      </c>
      <c r="F102" s="4"/>
      <c r="G102" s="157">
        <v>4664.2</v>
      </c>
      <c r="H102" s="4"/>
      <c r="I102" s="4"/>
      <c r="J102" s="4"/>
      <c r="K102" s="4"/>
      <c r="L102" s="4"/>
      <c r="M102" s="157">
        <v>3136007.4</v>
      </c>
      <c r="N102" s="4"/>
      <c r="O102" s="4"/>
      <c r="P102" s="4"/>
      <c r="Q102" s="4"/>
      <c r="R102" s="4"/>
      <c r="S102" s="4"/>
    </row>
    <row r="103" spans="1:19" ht="15.75" hidden="1" customHeight="1" x14ac:dyDescent="0.2">
      <c r="A103" s="151">
        <v>44382</v>
      </c>
      <c r="B103" s="156">
        <v>40464</v>
      </c>
      <c r="C103" s="157">
        <v>465510.8</v>
      </c>
      <c r="D103" s="165">
        <v>49783</v>
      </c>
      <c r="E103" s="157">
        <v>2851.4</v>
      </c>
      <c r="F103" s="4"/>
      <c r="G103" s="157">
        <v>4689.7</v>
      </c>
      <c r="H103" s="4"/>
      <c r="I103" s="4"/>
      <c r="J103" s="4"/>
      <c r="K103" s="4"/>
      <c r="L103" s="4"/>
      <c r="M103" s="157">
        <v>3139629.3</v>
      </c>
      <c r="N103" s="4"/>
      <c r="O103" s="4"/>
      <c r="P103" s="4"/>
      <c r="Q103" s="4"/>
      <c r="R103" s="4"/>
      <c r="S103" s="4"/>
    </row>
    <row r="104" spans="1:19" ht="15.75" hidden="1" customHeight="1" x14ac:dyDescent="0.2">
      <c r="A104" s="151">
        <v>44411</v>
      </c>
      <c r="B104" s="156">
        <v>40752.400000000001</v>
      </c>
      <c r="C104" s="157">
        <v>467834.1</v>
      </c>
      <c r="D104" s="165">
        <v>55654.94</v>
      </c>
      <c r="E104" s="157">
        <v>2865.72</v>
      </c>
      <c r="F104" s="4"/>
      <c r="G104" s="157">
        <v>4703.8999999999996</v>
      </c>
      <c r="H104" s="4"/>
      <c r="I104" s="4"/>
      <c r="J104" s="4"/>
      <c r="K104" s="4"/>
      <c r="L104" s="4"/>
      <c r="M104" s="157">
        <v>3142383.8</v>
      </c>
      <c r="N104" s="4"/>
      <c r="O104" s="4"/>
      <c r="P104" s="4"/>
      <c r="Q104" s="4"/>
      <c r="R104" s="4"/>
      <c r="S104" s="4"/>
    </row>
    <row r="105" spans="1:19" ht="15.75" hidden="1" customHeight="1" x14ac:dyDescent="0.2">
      <c r="A105" s="151">
        <v>44440</v>
      </c>
      <c r="B105" s="156">
        <v>41256.300000000003</v>
      </c>
      <c r="C105" s="157">
        <v>472191.69</v>
      </c>
      <c r="D105" s="165">
        <v>67109.59</v>
      </c>
      <c r="E105" s="157">
        <v>2892.58</v>
      </c>
      <c r="F105" s="4"/>
      <c r="G105" s="157">
        <v>4750.3</v>
      </c>
      <c r="H105" s="4"/>
      <c r="I105" s="4"/>
      <c r="J105" s="4"/>
      <c r="K105" s="4"/>
      <c r="L105" s="4"/>
      <c r="M105" s="157">
        <v>3146704.9</v>
      </c>
      <c r="N105" s="4"/>
      <c r="O105" s="4"/>
      <c r="P105" s="4"/>
      <c r="Q105" s="4"/>
      <c r="R105" s="4"/>
      <c r="S105" s="4"/>
    </row>
    <row r="106" spans="1:19" ht="15.75" customHeight="1" x14ac:dyDescent="0.2">
      <c r="A106" s="151">
        <v>44470</v>
      </c>
      <c r="B106" s="156">
        <v>41783.599999999999</v>
      </c>
      <c r="C106" s="157">
        <v>477266</v>
      </c>
      <c r="D106" s="165">
        <v>81166</v>
      </c>
      <c r="E106" s="157">
        <v>2923.71</v>
      </c>
      <c r="F106" s="4"/>
      <c r="G106" s="157">
        <v>4792.8999999999996</v>
      </c>
      <c r="H106" s="4"/>
      <c r="I106" s="4"/>
      <c r="J106" s="4"/>
      <c r="K106" s="4"/>
      <c r="L106" s="4"/>
      <c r="M106" s="157">
        <v>3152037.1</v>
      </c>
      <c r="N106" s="4"/>
      <c r="O106" s="4"/>
      <c r="P106" s="4"/>
      <c r="Q106" s="4"/>
      <c r="R106" s="4"/>
      <c r="S106" s="4"/>
    </row>
    <row r="107" spans="1:19" ht="15.75" customHeight="1" x14ac:dyDescent="0.2">
      <c r="A107" s="151">
        <v>44501</v>
      </c>
      <c r="B107" s="156">
        <v>42426.3</v>
      </c>
      <c r="C107" s="157">
        <v>484447.3</v>
      </c>
      <c r="D107" s="165">
        <v>102604.59</v>
      </c>
      <c r="E107" s="157">
        <v>2968.68</v>
      </c>
      <c r="F107" s="4"/>
      <c r="G107" s="157">
        <v>4858.8</v>
      </c>
      <c r="H107" s="4"/>
      <c r="I107" s="4"/>
      <c r="J107" s="4"/>
      <c r="K107" s="4"/>
      <c r="L107" s="4"/>
      <c r="M107" s="157">
        <v>3161473.4</v>
      </c>
      <c r="N107" s="4"/>
      <c r="O107" s="4"/>
      <c r="P107" s="4"/>
      <c r="Q107" s="4"/>
      <c r="R107" s="4"/>
      <c r="S107" s="4"/>
    </row>
    <row r="108" spans="1:19" ht="15.75" customHeight="1" x14ac:dyDescent="0.2">
      <c r="A108" s="151">
        <v>44531</v>
      </c>
      <c r="B108" s="156">
        <v>43047</v>
      </c>
      <c r="C108" s="157">
        <v>491441.2</v>
      </c>
      <c r="D108" s="165">
        <v>123373.58</v>
      </c>
      <c r="E108" s="157">
        <v>3012.55</v>
      </c>
      <c r="F108" s="4"/>
      <c r="G108" s="157">
        <v>4917.8</v>
      </c>
      <c r="H108" s="4"/>
      <c r="I108" s="4"/>
      <c r="J108" s="4"/>
      <c r="K108" s="4"/>
      <c r="L108" s="4"/>
      <c r="M108" s="157">
        <v>3176076.5</v>
      </c>
      <c r="N108" s="4"/>
      <c r="O108" s="4"/>
      <c r="P108" s="4"/>
      <c r="Q108" s="4"/>
      <c r="R108" s="4"/>
      <c r="S108" s="4"/>
    </row>
    <row r="109" spans="1:19" ht="15.75" customHeight="1" thickBot="1" x14ac:dyDescent="0.25">
      <c r="A109" s="91">
        <v>44562</v>
      </c>
      <c r="B109" s="158">
        <v>44001.8</v>
      </c>
      <c r="C109" s="159">
        <v>502358</v>
      </c>
      <c r="D109" s="167">
        <v>155528.43</v>
      </c>
      <c r="E109" s="159">
        <v>3080</v>
      </c>
      <c r="F109" s="102"/>
      <c r="G109" s="159">
        <v>5029</v>
      </c>
      <c r="H109" s="102"/>
      <c r="I109" s="102"/>
      <c r="J109" s="102"/>
      <c r="K109" s="102"/>
      <c r="L109" s="102"/>
      <c r="M109" s="159">
        <v>3193989</v>
      </c>
      <c r="N109" s="168">
        <v>1133639</v>
      </c>
      <c r="O109" s="134">
        <v>60354.03</v>
      </c>
      <c r="P109" s="102"/>
      <c r="Q109" s="102"/>
      <c r="R109" s="168">
        <v>76752</v>
      </c>
      <c r="S109" s="134">
        <v>23454.27</v>
      </c>
    </row>
    <row r="110" spans="1:19" ht="15.75" customHeight="1" x14ac:dyDescent="0.2">
      <c r="A110" s="89">
        <v>44593</v>
      </c>
      <c r="B110" s="162">
        <v>44481</v>
      </c>
      <c r="C110" s="163">
        <v>507731.1</v>
      </c>
      <c r="D110" s="166">
        <v>171829.3</v>
      </c>
      <c r="E110" s="163">
        <v>3114.66</v>
      </c>
      <c r="F110" s="12"/>
      <c r="G110" s="163">
        <v>5067.7</v>
      </c>
      <c r="H110" s="12"/>
      <c r="I110" s="12"/>
      <c r="J110" s="12"/>
      <c r="K110" s="12"/>
      <c r="L110" s="12"/>
      <c r="M110" s="163">
        <v>3204464.9</v>
      </c>
      <c r="N110" s="12"/>
      <c r="O110" s="12"/>
      <c r="P110" s="12"/>
      <c r="Q110" s="12"/>
      <c r="R110" s="12"/>
      <c r="S110" s="12"/>
    </row>
    <row r="111" spans="1:19" ht="15.75" customHeight="1" x14ac:dyDescent="0.2">
      <c r="A111" s="151">
        <v>44621</v>
      </c>
      <c r="B111" s="156">
        <v>45062</v>
      </c>
      <c r="C111" s="157">
        <v>514354.4</v>
      </c>
      <c r="D111" s="165">
        <v>191437.9</v>
      </c>
      <c r="E111" s="157">
        <v>3155.96</v>
      </c>
      <c r="F111" s="4"/>
      <c r="G111" s="157">
        <v>5120</v>
      </c>
      <c r="H111" s="4"/>
      <c r="I111" s="4"/>
      <c r="J111" s="4"/>
      <c r="K111" s="4"/>
      <c r="L111" s="4"/>
      <c r="M111" s="157">
        <v>3214602.5</v>
      </c>
      <c r="N111" s="4"/>
      <c r="O111" s="4"/>
      <c r="P111" s="4"/>
      <c r="Q111" s="4"/>
      <c r="R111" s="4"/>
      <c r="S111" s="4"/>
    </row>
    <row r="112" spans="1:19" ht="15.75" customHeight="1" x14ac:dyDescent="0.2">
      <c r="A112" s="171">
        <v>44652</v>
      </c>
      <c r="B112" s="172">
        <v>45862.9</v>
      </c>
      <c r="C112" s="173">
        <v>523304.54</v>
      </c>
      <c r="D112" s="174">
        <v>217745.1</v>
      </c>
      <c r="E112" s="173">
        <v>3211.99</v>
      </c>
      <c r="F112" s="175"/>
      <c r="G112" s="173">
        <v>5203.3</v>
      </c>
      <c r="H112" s="175"/>
      <c r="I112" s="175"/>
      <c r="J112" s="175"/>
      <c r="K112" s="175"/>
      <c r="L112" s="175"/>
      <c r="M112" s="173">
        <v>3226614.5</v>
      </c>
      <c r="N112" s="4"/>
      <c r="O112" s="4"/>
      <c r="P112" s="4"/>
      <c r="Q112" s="4"/>
      <c r="R112" s="4"/>
      <c r="S112" s="4"/>
    </row>
    <row r="113" spans="1:19" ht="15.75" customHeight="1" x14ac:dyDescent="0.2">
      <c r="A113" s="151">
        <v>44683</v>
      </c>
      <c r="B113" s="84">
        <v>46072</v>
      </c>
      <c r="C113" s="86">
        <v>525742</v>
      </c>
      <c r="D113" s="165">
        <v>224857</v>
      </c>
      <c r="E113" s="86">
        <v>3226</v>
      </c>
      <c r="F113" s="4"/>
      <c r="G113" s="86">
        <v>5226</v>
      </c>
      <c r="H113" s="4"/>
      <c r="I113" s="4"/>
      <c r="J113" s="4"/>
      <c r="K113" s="4"/>
      <c r="L113" s="4"/>
      <c r="M113" s="86">
        <v>3233285</v>
      </c>
      <c r="N113" s="4"/>
      <c r="O113" s="4"/>
      <c r="P113" s="4"/>
      <c r="Q113" s="4"/>
      <c r="R113" s="4"/>
      <c r="S113" s="4"/>
    </row>
    <row r="114" spans="1:19" ht="15.75" customHeight="1" x14ac:dyDescent="0.2">
      <c r="A114" s="151">
        <v>44713</v>
      </c>
      <c r="B114" s="84">
        <v>46394</v>
      </c>
      <c r="C114" s="86">
        <v>528609.9</v>
      </c>
      <c r="D114" s="165">
        <v>232350.8</v>
      </c>
      <c r="E114" s="86">
        <v>3245.1</v>
      </c>
      <c r="F114" s="4"/>
      <c r="G114" s="86">
        <v>5245</v>
      </c>
      <c r="H114" s="4"/>
      <c r="I114" s="4"/>
      <c r="J114" s="4"/>
      <c r="K114" s="4"/>
      <c r="L114" s="4"/>
      <c r="M114" s="86">
        <v>3237251.5</v>
      </c>
      <c r="N114" s="4"/>
      <c r="O114" s="4"/>
      <c r="P114" s="4"/>
      <c r="Q114" s="4"/>
      <c r="R114" s="4"/>
      <c r="S114" s="4"/>
    </row>
    <row r="115" spans="1:19" ht="15.75" customHeight="1" x14ac:dyDescent="0.2">
      <c r="A115" s="151">
        <v>44743</v>
      </c>
      <c r="B115" s="84">
        <v>46776.7</v>
      </c>
      <c r="C115" s="86">
        <v>531533.19999999995</v>
      </c>
      <c r="D115" s="165">
        <v>239442.98</v>
      </c>
      <c r="E115" s="86">
        <v>3263.93</v>
      </c>
      <c r="F115" s="4"/>
      <c r="G115" s="86">
        <v>5262.8</v>
      </c>
      <c r="H115" s="4"/>
      <c r="I115" s="4"/>
      <c r="J115" s="4"/>
      <c r="K115" s="4"/>
      <c r="L115" s="4"/>
      <c r="M115" s="86">
        <v>3240201.8</v>
      </c>
      <c r="N115" s="4"/>
      <c r="O115" s="4"/>
      <c r="P115" s="4"/>
      <c r="Q115" s="4"/>
      <c r="R115" s="4"/>
      <c r="S115" s="4"/>
    </row>
    <row r="116" spans="1:19" ht="15.75" customHeight="1" x14ac:dyDescent="0.2">
      <c r="A116" s="151">
        <v>44774</v>
      </c>
      <c r="B116" s="84">
        <v>47131.7</v>
      </c>
      <c r="C116" s="86">
        <v>534071.12</v>
      </c>
      <c r="D116" s="165">
        <v>245361.62</v>
      </c>
      <c r="E116" s="86">
        <v>3280.45</v>
      </c>
      <c r="F116" s="4"/>
      <c r="G116" s="86">
        <v>5273</v>
      </c>
      <c r="H116" s="4"/>
      <c r="I116" s="4"/>
      <c r="J116" s="4"/>
      <c r="K116" s="4"/>
      <c r="L116" s="4"/>
      <c r="M116" s="86">
        <v>3242727.3</v>
      </c>
      <c r="N116" s="4"/>
      <c r="O116" s="4"/>
      <c r="P116" s="4"/>
      <c r="Q116" s="4"/>
      <c r="R116" s="4"/>
      <c r="S116" s="4"/>
    </row>
    <row r="117" spans="1:19" ht="15.75" customHeight="1" x14ac:dyDescent="0.2">
      <c r="A117" s="151">
        <v>44805</v>
      </c>
      <c r="B117" s="156">
        <v>47510</v>
      </c>
      <c r="C117" s="157">
        <v>536543.64</v>
      </c>
      <c r="D117" s="165">
        <v>250803.5</v>
      </c>
      <c r="E117" s="157">
        <v>3296.5</v>
      </c>
      <c r="F117" s="4"/>
      <c r="G117" s="157">
        <v>5282.2</v>
      </c>
      <c r="H117" s="4"/>
      <c r="I117" s="4"/>
      <c r="J117" s="4"/>
      <c r="K117" s="4"/>
      <c r="L117" s="4"/>
      <c r="M117" s="157">
        <v>3245194.7</v>
      </c>
      <c r="N117" s="4"/>
      <c r="O117" s="4"/>
      <c r="P117" s="4"/>
      <c r="Q117" s="4"/>
      <c r="R117" s="4"/>
      <c r="S117" s="4"/>
    </row>
    <row r="118" spans="1:19" ht="15.75" customHeight="1" x14ac:dyDescent="0.2">
      <c r="A118" s="151">
        <v>44835</v>
      </c>
      <c r="B118" s="156">
        <v>48066</v>
      </c>
      <c r="C118" s="157">
        <v>541920</v>
      </c>
      <c r="D118" s="165">
        <v>264793</v>
      </c>
      <c r="E118" s="157">
        <v>3331</v>
      </c>
      <c r="F118" s="4"/>
      <c r="G118" s="157">
        <v>5309</v>
      </c>
      <c r="H118" s="4"/>
      <c r="I118" s="4"/>
      <c r="J118" s="4"/>
      <c r="K118" s="4"/>
      <c r="L118" s="4"/>
      <c r="M118" s="157">
        <v>3250585</v>
      </c>
      <c r="N118" s="4"/>
      <c r="O118" s="4"/>
      <c r="P118" s="4"/>
      <c r="Q118" s="4"/>
      <c r="R118" s="4"/>
      <c r="S118" s="4"/>
    </row>
    <row r="119" spans="1:19" ht="15.75" customHeight="1" x14ac:dyDescent="0.2">
      <c r="A119" s="151">
        <v>44866</v>
      </c>
      <c r="B119" s="156">
        <v>48623</v>
      </c>
      <c r="C119" s="157">
        <v>545835</v>
      </c>
      <c r="D119" s="165">
        <v>273229</v>
      </c>
      <c r="E119" s="157">
        <v>3354</v>
      </c>
      <c r="F119" s="4"/>
      <c r="G119" s="157">
        <v>5327</v>
      </c>
      <c r="H119" s="4"/>
      <c r="I119" s="4"/>
      <c r="J119" s="4"/>
      <c r="K119" s="4"/>
      <c r="L119" s="4"/>
      <c r="M119" s="157">
        <v>3254752</v>
      </c>
      <c r="N119" s="4"/>
      <c r="O119" s="4"/>
      <c r="P119" s="4"/>
      <c r="Q119" s="4"/>
      <c r="R119" s="4"/>
      <c r="S119" s="4"/>
    </row>
    <row r="120" spans="1:19" ht="15.75" customHeight="1" x14ac:dyDescent="0.2">
      <c r="A120" s="151">
        <v>44896</v>
      </c>
      <c r="B120" s="156">
        <v>49190</v>
      </c>
      <c r="C120" s="157">
        <v>552508</v>
      </c>
      <c r="D120" s="165">
        <v>289531</v>
      </c>
      <c r="E120" s="157">
        <v>3390</v>
      </c>
      <c r="F120" s="4"/>
      <c r="G120" s="157">
        <v>5369</v>
      </c>
      <c r="H120" s="4"/>
      <c r="I120" s="4"/>
      <c r="J120" s="4"/>
      <c r="K120" s="4"/>
      <c r="L120" s="4"/>
      <c r="M120" s="157">
        <v>3263522</v>
      </c>
      <c r="N120" s="4"/>
      <c r="O120" s="4"/>
      <c r="P120" s="4"/>
      <c r="Q120" s="4"/>
      <c r="R120" s="4"/>
      <c r="S120" s="4"/>
    </row>
    <row r="121" spans="1:19" ht="15.75" customHeight="1" thickBot="1" x14ac:dyDescent="0.25">
      <c r="A121" s="91">
        <v>44927</v>
      </c>
      <c r="B121" s="158">
        <v>49669</v>
      </c>
      <c r="C121" s="159">
        <v>557016</v>
      </c>
      <c r="D121" s="167">
        <v>302111</v>
      </c>
      <c r="E121" s="159">
        <v>3419</v>
      </c>
      <c r="F121" s="102"/>
      <c r="G121" s="159">
        <v>5400</v>
      </c>
      <c r="H121" s="102"/>
      <c r="I121" s="102"/>
      <c r="J121" s="102"/>
      <c r="K121" s="102"/>
      <c r="L121" s="102"/>
      <c r="M121" s="159">
        <v>3272471</v>
      </c>
      <c r="N121" s="102"/>
      <c r="O121" s="102"/>
      <c r="P121" s="102"/>
      <c r="Q121" s="102"/>
      <c r="R121" s="102"/>
      <c r="S121" s="102"/>
    </row>
    <row r="122" spans="1:19" ht="15.75" customHeight="1" x14ac:dyDescent="0.2">
      <c r="A122" s="89">
        <v>44958</v>
      </c>
      <c r="B122" s="162">
        <v>50622</v>
      </c>
      <c r="C122" s="163">
        <v>564933</v>
      </c>
      <c r="D122" s="166">
        <v>322764</v>
      </c>
      <c r="E122" s="163">
        <v>3471</v>
      </c>
      <c r="F122" s="12"/>
      <c r="G122" s="163">
        <v>5450</v>
      </c>
      <c r="H122" s="12"/>
      <c r="I122" s="12"/>
      <c r="J122" s="12"/>
      <c r="K122" s="12"/>
      <c r="L122" s="12"/>
      <c r="M122" s="163">
        <v>3286722</v>
      </c>
      <c r="N122" s="12"/>
      <c r="O122" s="12"/>
      <c r="P122" s="12"/>
      <c r="Q122" s="12"/>
      <c r="R122" s="12"/>
      <c r="S122" s="12"/>
    </row>
    <row r="123" spans="1:19" ht="15.75" customHeight="1" x14ac:dyDescent="0.2">
      <c r="A123" s="151">
        <v>44986</v>
      </c>
      <c r="B123" s="156">
        <v>51327</v>
      </c>
      <c r="C123" s="157">
        <v>570771</v>
      </c>
      <c r="D123" s="165">
        <v>338269</v>
      </c>
      <c r="E123" s="157">
        <v>3510</v>
      </c>
      <c r="F123" s="4"/>
      <c r="G123" s="157">
        <v>5479</v>
      </c>
      <c r="H123" s="4"/>
      <c r="I123" s="4"/>
      <c r="J123" s="4"/>
      <c r="K123" s="4"/>
      <c r="L123" s="4"/>
      <c r="M123" s="157">
        <v>3297713</v>
      </c>
      <c r="N123" s="4"/>
      <c r="O123" s="4"/>
      <c r="P123" s="4"/>
      <c r="Q123" s="4"/>
      <c r="R123" s="4"/>
      <c r="S123" s="4"/>
    </row>
    <row r="124" spans="1:19" ht="15.75" customHeight="1" x14ac:dyDescent="0.2">
      <c r="A124" s="151">
        <v>45017</v>
      </c>
      <c r="B124" s="156">
        <v>51931</v>
      </c>
      <c r="C124" s="157">
        <v>576288</v>
      </c>
      <c r="D124" s="165">
        <v>353055</v>
      </c>
      <c r="E124" s="157">
        <v>3545</v>
      </c>
      <c r="F124" s="4"/>
      <c r="G124" s="157">
        <v>5511</v>
      </c>
      <c r="H124" s="4"/>
      <c r="I124" s="4"/>
      <c r="J124" s="4"/>
      <c r="K124" s="4"/>
      <c r="L124" s="4"/>
      <c r="M124" s="157">
        <v>3306566</v>
      </c>
      <c r="N124" s="4"/>
      <c r="O124" s="4"/>
      <c r="P124" s="4"/>
      <c r="Q124" s="4"/>
      <c r="R124" s="4"/>
      <c r="S124" s="4"/>
    </row>
    <row r="125" spans="1:19" ht="15.75" customHeight="1" x14ac:dyDescent="0.2">
      <c r="A125" s="151">
        <v>45047</v>
      </c>
      <c r="B125" s="156">
        <v>52111</v>
      </c>
      <c r="C125" s="157">
        <v>577998</v>
      </c>
      <c r="D125" s="165"/>
      <c r="E125" s="157">
        <v>3556</v>
      </c>
      <c r="F125" s="4"/>
      <c r="G125" s="157">
        <v>5521</v>
      </c>
      <c r="H125" s="4"/>
      <c r="I125" s="4"/>
      <c r="J125" s="4"/>
      <c r="K125" s="4"/>
      <c r="L125" s="4"/>
      <c r="M125" s="157">
        <v>3312098</v>
      </c>
      <c r="N125" s="4"/>
      <c r="O125" s="4"/>
      <c r="P125" s="4"/>
      <c r="Q125" s="4"/>
      <c r="R125" s="4"/>
      <c r="S125" s="4"/>
    </row>
    <row r="126" spans="1:19" ht="15.75" customHeight="1" x14ac:dyDescent="0.2">
      <c r="A126" s="151">
        <v>45078</v>
      </c>
      <c r="B126" s="156">
        <v>385</v>
      </c>
      <c r="C126" s="157">
        <v>579809</v>
      </c>
      <c r="D126" s="165">
        <v>109824</v>
      </c>
      <c r="E126" s="157">
        <v>3568.12</v>
      </c>
      <c r="F126" s="4"/>
      <c r="G126" s="157">
        <v>5534.2</v>
      </c>
      <c r="H126" s="4"/>
      <c r="I126" s="4"/>
      <c r="J126" s="4"/>
      <c r="K126" s="4"/>
      <c r="L126" s="4"/>
      <c r="M126" s="157">
        <v>3315461</v>
      </c>
      <c r="N126" s="4"/>
      <c r="O126" s="4"/>
      <c r="P126" s="4"/>
      <c r="Q126" s="4"/>
      <c r="R126" s="4"/>
      <c r="S126" s="4"/>
    </row>
    <row r="127" spans="1:19" ht="15.75" customHeight="1" x14ac:dyDescent="0.2">
      <c r="A127" s="151">
        <v>45108</v>
      </c>
      <c r="B127" s="156"/>
      <c r="C127" s="157"/>
      <c r="D127" s="165"/>
      <c r="E127" s="157"/>
      <c r="F127" s="4"/>
      <c r="G127" s="157"/>
      <c r="H127" s="4"/>
      <c r="I127" s="4"/>
      <c r="J127" s="4"/>
      <c r="K127" s="4"/>
      <c r="L127" s="4"/>
      <c r="M127" s="157"/>
      <c r="N127" s="4"/>
      <c r="O127" s="4"/>
      <c r="P127" s="4"/>
      <c r="Q127" s="4"/>
      <c r="R127" s="4"/>
      <c r="S127" s="4"/>
    </row>
    <row r="128" spans="1:19" x14ac:dyDescent="0.2">
      <c r="A128" s="1"/>
      <c r="B128" s="154"/>
      <c r="C128" s="155"/>
      <c r="D128" s="154"/>
      <c r="E128" s="155"/>
      <c r="G128" s="155"/>
      <c r="M128" s="155"/>
    </row>
    <row r="129" spans="1:1" x14ac:dyDescent="0.2">
      <c r="A129" s="1" t="s">
        <v>101</v>
      </c>
    </row>
    <row r="130" spans="1:1" x14ac:dyDescent="0.2">
      <c r="A130" s="1"/>
    </row>
  </sheetData>
  <phoneticPr fontId="2" type="noConversion"/>
  <pageMargins left="0.78740157480314965" right="0.78740157480314965" top="0.98425196850393704" bottom="0.98425196850393704" header="0.51181102362204722" footer="0.51181102362204722"/>
  <pageSetup paperSize="8" scale="72" orientation="landscape" r:id="rId1"/>
  <headerFooter alignWithMargins="0">
    <oddFooter>&amp;L&amp;Z&amp;F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D50"/>
  <sheetViews>
    <sheetView workbookViewId="0">
      <selection activeCell="D34" sqref="D34"/>
    </sheetView>
  </sheetViews>
  <sheetFormatPr baseColWidth="10" defaultRowHeight="12.75" x14ac:dyDescent="0.2"/>
  <cols>
    <col min="1" max="1" width="1.5703125" customWidth="1"/>
    <col min="2" max="2" width="22" customWidth="1"/>
    <col min="3" max="3" width="62" customWidth="1"/>
    <col min="4" max="4" width="17" style="21" customWidth="1"/>
    <col min="7" max="7" width="13.140625" customWidth="1"/>
  </cols>
  <sheetData>
    <row r="1" spans="2:4" x14ac:dyDescent="0.2">
      <c r="B1" s="5"/>
    </row>
    <row r="3" spans="2:4" ht="15.75" x14ac:dyDescent="0.25">
      <c r="B3" s="2" t="s">
        <v>29</v>
      </c>
    </row>
    <row r="5" spans="2:4" ht="15" x14ac:dyDescent="0.2">
      <c r="B5" s="3" t="s">
        <v>13</v>
      </c>
      <c r="C5" t="str">
        <f>+Verbrauchsdaten!B2</f>
        <v>Schulstiftung der Evangelischen Landeskirche in Württemberg</v>
      </c>
    </row>
    <row r="6" spans="2:4" ht="15" x14ac:dyDescent="0.2">
      <c r="B6" s="3" t="s">
        <v>14</v>
      </c>
      <c r="C6" t="str">
        <f>+Verbrauchsdaten!B4</f>
        <v xml:space="preserve">Lichtenstern Gymnasium </v>
      </c>
    </row>
    <row r="7" spans="2:4" ht="15" x14ac:dyDescent="0.2">
      <c r="B7" s="3" t="s">
        <v>15</v>
      </c>
      <c r="C7" t="str">
        <f>+Verbrauchsdaten!B7</f>
        <v xml:space="preserve">Kraftwerk Mephisto </v>
      </c>
    </row>
    <row r="8" spans="2:4" ht="13.5" thickBot="1" x14ac:dyDescent="0.25"/>
    <row r="9" spans="2:4" x14ac:dyDescent="0.2">
      <c r="B9" s="47" t="s">
        <v>30</v>
      </c>
      <c r="C9" s="6"/>
      <c r="D9" s="22" t="s">
        <v>44</v>
      </c>
    </row>
    <row r="10" spans="2:4" x14ac:dyDescent="0.2">
      <c r="B10" s="7" t="s">
        <v>31</v>
      </c>
      <c r="C10" s="8"/>
      <c r="D10" s="32"/>
    </row>
    <row r="11" spans="2:4" x14ac:dyDescent="0.2">
      <c r="B11" s="7" t="s">
        <v>32</v>
      </c>
      <c r="C11" s="8"/>
      <c r="D11" s="32"/>
    </row>
    <row r="12" spans="2:4" x14ac:dyDescent="0.2">
      <c r="B12" s="7" t="s">
        <v>66</v>
      </c>
      <c r="C12" s="8"/>
      <c r="D12" s="32"/>
    </row>
    <row r="13" spans="2:4" x14ac:dyDescent="0.2">
      <c r="B13" s="7" t="s">
        <v>67</v>
      </c>
      <c r="C13" s="8"/>
      <c r="D13" s="33"/>
    </row>
    <row r="14" spans="2:4" x14ac:dyDescent="0.2">
      <c r="B14" s="7" t="s">
        <v>33</v>
      </c>
      <c r="C14" s="8"/>
      <c r="D14" s="32"/>
    </row>
    <row r="15" spans="2:4" ht="13.5" thickBot="1" x14ac:dyDescent="0.25">
      <c r="B15" s="9" t="s">
        <v>34</v>
      </c>
      <c r="C15" s="10"/>
      <c r="D15" s="34"/>
    </row>
    <row r="16" spans="2:4" ht="13.5" thickBot="1" x14ac:dyDescent="0.25">
      <c r="B16" s="11"/>
      <c r="C16" s="8"/>
      <c r="D16" s="25"/>
    </row>
    <row r="17" spans="2:4" x14ac:dyDescent="0.2">
      <c r="B17" s="47" t="s">
        <v>35</v>
      </c>
      <c r="C17" s="6"/>
      <c r="D17" s="28"/>
    </row>
    <row r="18" spans="2:4" x14ac:dyDescent="0.2">
      <c r="B18" s="7" t="s">
        <v>36</v>
      </c>
      <c r="C18" s="8"/>
      <c r="D18" s="32"/>
    </row>
    <row r="19" spans="2:4" x14ac:dyDescent="0.2">
      <c r="B19" s="7" t="s">
        <v>68</v>
      </c>
      <c r="C19" s="8"/>
      <c r="D19" s="32"/>
    </row>
    <row r="20" spans="2:4" x14ac:dyDescent="0.2">
      <c r="B20" s="7" t="s">
        <v>59</v>
      </c>
      <c r="C20" s="8"/>
      <c r="D20" s="32"/>
    </row>
    <row r="21" spans="2:4" ht="13.5" thickBot="1" x14ac:dyDescent="0.25">
      <c r="B21" s="9" t="s">
        <v>69</v>
      </c>
      <c r="C21" s="10"/>
      <c r="D21" s="27"/>
    </row>
    <row r="22" spans="2:4" ht="13.5" thickBot="1" x14ac:dyDescent="0.25">
      <c r="B22" s="11"/>
      <c r="C22" s="8"/>
      <c r="D22" s="25"/>
    </row>
    <row r="23" spans="2:4" x14ac:dyDescent="0.2">
      <c r="B23" s="47" t="s">
        <v>37</v>
      </c>
      <c r="C23" s="6"/>
      <c r="D23" s="26"/>
    </row>
    <row r="24" spans="2:4" x14ac:dyDescent="0.2">
      <c r="B24" s="7" t="s">
        <v>38</v>
      </c>
      <c r="C24" s="8"/>
      <c r="D24" s="23"/>
    </row>
    <row r="25" spans="2:4" x14ac:dyDescent="0.2">
      <c r="B25" s="7" t="s">
        <v>65</v>
      </c>
      <c r="C25" s="8"/>
      <c r="D25" s="23"/>
    </row>
    <row r="26" spans="2:4" x14ac:dyDescent="0.2">
      <c r="B26" s="7" t="s">
        <v>70</v>
      </c>
      <c r="C26" s="8"/>
      <c r="D26" s="103">
        <v>42319</v>
      </c>
    </row>
    <row r="27" spans="2:4" x14ac:dyDescent="0.2">
      <c r="B27" s="7" t="s">
        <v>71</v>
      </c>
      <c r="C27" s="8"/>
      <c r="D27" s="103">
        <v>42319</v>
      </c>
    </row>
    <row r="28" spans="2:4" x14ac:dyDescent="0.2">
      <c r="B28" s="7" t="s">
        <v>72</v>
      </c>
      <c r="C28" s="8"/>
      <c r="D28" s="23"/>
    </row>
    <row r="29" spans="2:4" x14ac:dyDescent="0.2">
      <c r="B29" s="7" t="s">
        <v>73</v>
      </c>
      <c r="C29" s="8"/>
      <c r="D29" s="23"/>
    </row>
    <row r="30" spans="2:4" x14ac:dyDescent="0.2">
      <c r="B30" s="7" t="s">
        <v>74</v>
      </c>
      <c r="C30" s="8"/>
      <c r="D30" s="29"/>
    </row>
    <row r="31" spans="2:4" ht="13.5" thickBot="1" x14ac:dyDescent="0.25">
      <c r="B31" s="9" t="s">
        <v>39</v>
      </c>
      <c r="C31" s="10"/>
      <c r="D31" s="24"/>
    </row>
    <row r="32" spans="2:4" ht="13.5" thickBot="1" x14ac:dyDescent="0.25">
      <c r="B32" s="11"/>
      <c r="C32" s="8"/>
      <c r="D32" s="25"/>
    </row>
    <row r="33" spans="2:4" x14ac:dyDescent="0.2">
      <c r="B33" s="47" t="s">
        <v>40</v>
      </c>
      <c r="C33" s="6"/>
      <c r="D33" s="22"/>
    </row>
    <row r="34" spans="2:4" x14ac:dyDescent="0.2">
      <c r="B34" s="7" t="s">
        <v>41</v>
      </c>
      <c r="C34" s="8"/>
      <c r="D34" s="103">
        <v>42319</v>
      </c>
    </row>
    <row r="35" spans="2:4" x14ac:dyDescent="0.2">
      <c r="B35" s="7" t="s">
        <v>38</v>
      </c>
      <c r="C35" s="8"/>
      <c r="D35" s="23"/>
    </row>
    <row r="36" spans="2:4" ht="13.5" thickBot="1" x14ac:dyDescent="0.25">
      <c r="B36" s="9" t="s">
        <v>42</v>
      </c>
      <c r="C36" s="10"/>
      <c r="D36" s="24"/>
    </row>
    <row r="37" spans="2:4" ht="13.5" thickBot="1" x14ac:dyDescent="0.25">
      <c r="B37" s="11"/>
      <c r="C37" s="8"/>
      <c r="D37" s="25"/>
    </row>
    <row r="38" spans="2:4" x14ac:dyDescent="0.2">
      <c r="B38" s="47" t="s">
        <v>43</v>
      </c>
      <c r="C38" s="6"/>
      <c r="D38" s="22"/>
    </row>
    <row r="39" spans="2:4" x14ac:dyDescent="0.2">
      <c r="B39" s="7" t="s">
        <v>102</v>
      </c>
      <c r="C39" s="8"/>
      <c r="D39" s="25"/>
    </row>
    <row r="40" spans="2:4" x14ac:dyDescent="0.2">
      <c r="B40" s="7" t="s">
        <v>75</v>
      </c>
      <c r="C40" s="30"/>
      <c r="D40" s="31"/>
    </row>
    <row r="41" spans="2:4" ht="13.5" thickBot="1" x14ac:dyDescent="0.25">
      <c r="B41" s="9" t="s">
        <v>38</v>
      </c>
      <c r="C41" s="10"/>
      <c r="D41" s="24"/>
    </row>
    <row r="42" spans="2:4" ht="13.5" thickBot="1" x14ac:dyDescent="0.25">
      <c r="B42" s="11"/>
      <c r="C42" s="8"/>
      <c r="D42" s="25"/>
    </row>
    <row r="43" spans="2:4" x14ac:dyDescent="0.2">
      <c r="B43" s="47" t="s">
        <v>45</v>
      </c>
      <c r="C43" s="6"/>
      <c r="D43" s="22"/>
    </row>
    <row r="44" spans="2:4" x14ac:dyDescent="0.2">
      <c r="B44" s="7" t="s">
        <v>46</v>
      </c>
      <c r="C44" s="8"/>
      <c r="D44" s="33"/>
    </row>
    <row r="45" spans="2:4" x14ac:dyDescent="0.2">
      <c r="B45" s="7" t="s">
        <v>38</v>
      </c>
      <c r="C45" s="8"/>
      <c r="D45" s="23"/>
    </row>
    <row r="46" spans="2:4" ht="13.5" thickBot="1" x14ac:dyDescent="0.25">
      <c r="B46" s="9" t="s">
        <v>47</v>
      </c>
      <c r="C46" s="10"/>
      <c r="D46" s="24"/>
    </row>
    <row r="49" spans="2:4" ht="46.5" customHeight="1" x14ac:dyDescent="0.2">
      <c r="B49" s="178" t="s">
        <v>76</v>
      </c>
      <c r="C49" s="179"/>
      <c r="D49" s="179"/>
    </row>
    <row r="50" spans="2:4" ht="39.75" customHeight="1" x14ac:dyDescent="0.2">
      <c r="B50" s="178" t="s">
        <v>77</v>
      </c>
      <c r="C50" s="179"/>
      <c r="D50" s="179"/>
    </row>
  </sheetData>
  <mergeCells count="2">
    <mergeCell ref="B49:D49"/>
    <mergeCell ref="B50:D50"/>
  </mergeCells>
  <phoneticPr fontId="2" type="noConversion"/>
  <pageMargins left="0.78740157499999996" right="0.78740157499999996" top="0.984251969" bottom="0.984251969" header="0.4921259845" footer="0.4921259845"/>
  <pageSetup paperSize="9" scale="69"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Anlagendaten</vt:lpstr>
      <vt:lpstr>Verbrauchsdaten</vt:lpstr>
      <vt:lpstr>Unterlagenübersicht</vt:lpstr>
    </vt:vector>
  </TitlesOfParts>
  <Company>badenova AG &amp; Co. KG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sys4adm</dc:creator>
  <cp:lastModifiedBy>Glerum, Michaela</cp:lastModifiedBy>
  <cp:lastPrinted>2022-04-25T11:44:49Z</cp:lastPrinted>
  <dcterms:created xsi:type="dcterms:W3CDTF">2012-11-18T05:15:49Z</dcterms:created>
  <dcterms:modified xsi:type="dcterms:W3CDTF">2023-06-20T11:17:32Z</dcterms:modified>
</cp:coreProperties>
</file>